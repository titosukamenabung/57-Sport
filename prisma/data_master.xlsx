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ester 4\sistem pendukung keputusan\"/>
    </mc:Choice>
  </mc:AlternateContent>
  <xr:revisionPtr revIDLastSave="0" documentId="8_{C5D39CD2-8DE5-4285-A346-206968402DFD}" xr6:coauthVersionLast="47" xr6:coauthVersionMax="47" xr10:uidLastSave="{00000000-0000-0000-0000-000000000000}"/>
  <bookViews>
    <workbookView xWindow="0" yWindow="10" windowWidth="19420" windowHeight="12220" activeTab="1" xr2:uid="{00000000-000D-0000-FFFF-FFFF00000000}"/>
  </bookViews>
  <sheets>
    <sheet name="Master_Motor" sheetId="2" r:id="rId1"/>
    <sheet name="Kriteria_SPK" sheetId="3" r:id="rId2"/>
    <sheet name="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F8" i="3"/>
  <c r="F7" i="3"/>
  <c r="F6" i="3"/>
  <c r="F5" i="3"/>
  <c r="F4" i="3"/>
  <c r="F3" i="3"/>
  <c r="F2" i="3"/>
  <c r="X53" i="2"/>
  <c r="V53" i="2"/>
  <c r="U53" i="2"/>
  <c r="T53" i="2"/>
  <c r="S53" i="2"/>
  <c r="R53" i="2"/>
  <c r="Q53" i="2"/>
  <c r="X52" i="2"/>
  <c r="V52" i="2"/>
  <c r="U52" i="2"/>
  <c r="T52" i="2"/>
  <c r="S52" i="2"/>
  <c r="R52" i="2"/>
  <c r="Q52" i="2"/>
  <c r="X51" i="2"/>
  <c r="V51" i="2"/>
  <c r="U51" i="2"/>
  <c r="T51" i="2"/>
  <c r="S51" i="2"/>
  <c r="R51" i="2"/>
  <c r="Q51" i="2"/>
  <c r="X50" i="2"/>
  <c r="V50" i="2"/>
  <c r="U50" i="2"/>
  <c r="T50" i="2"/>
  <c r="S50" i="2"/>
  <c r="R50" i="2"/>
  <c r="Q50" i="2"/>
  <c r="X49" i="2"/>
  <c r="V49" i="2"/>
  <c r="U49" i="2"/>
  <c r="T49" i="2"/>
  <c r="S49" i="2"/>
  <c r="R49" i="2"/>
  <c r="Q49" i="2"/>
  <c r="X48" i="2"/>
  <c r="V48" i="2"/>
  <c r="U48" i="2"/>
  <c r="T48" i="2"/>
  <c r="S48" i="2"/>
  <c r="R48" i="2"/>
  <c r="Q48" i="2"/>
  <c r="X47" i="2"/>
  <c r="V47" i="2"/>
  <c r="U47" i="2"/>
  <c r="T47" i="2"/>
  <c r="S47" i="2"/>
  <c r="R47" i="2"/>
  <c r="Q47" i="2"/>
  <c r="X46" i="2"/>
  <c r="V46" i="2"/>
  <c r="U46" i="2"/>
  <c r="T46" i="2"/>
  <c r="S46" i="2"/>
  <c r="R46" i="2"/>
  <c r="Q46" i="2"/>
  <c r="X45" i="2"/>
  <c r="V45" i="2"/>
  <c r="U45" i="2"/>
  <c r="T45" i="2"/>
  <c r="S45" i="2"/>
  <c r="R45" i="2"/>
  <c r="Q45" i="2"/>
  <c r="X44" i="2"/>
  <c r="V44" i="2"/>
  <c r="U44" i="2"/>
  <c r="T44" i="2"/>
  <c r="S44" i="2"/>
  <c r="R44" i="2"/>
  <c r="Q44" i="2"/>
  <c r="X43" i="2"/>
  <c r="V43" i="2"/>
  <c r="U43" i="2"/>
  <c r="T43" i="2"/>
  <c r="S43" i="2"/>
  <c r="R43" i="2"/>
  <c r="Q43" i="2"/>
  <c r="X42" i="2"/>
  <c r="V42" i="2"/>
  <c r="U42" i="2"/>
  <c r="T42" i="2"/>
  <c r="S42" i="2"/>
  <c r="R42" i="2"/>
  <c r="Q42" i="2"/>
  <c r="X41" i="2"/>
  <c r="V41" i="2"/>
  <c r="U41" i="2"/>
  <c r="T41" i="2"/>
  <c r="S41" i="2"/>
  <c r="R41" i="2"/>
  <c r="Q41" i="2"/>
  <c r="X40" i="2"/>
  <c r="V40" i="2"/>
  <c r="U40" i="2"/>
  <c r="T40" i="2"/>
  <c r="S40" i="2"/>
  <c r="R40" i="2"/>
  <c r="Q40" i="2"/>
  <c r="X39" i="2"/>
  <c r="V39" i="2"/>
  <c r="U39" i="2"/>
  <c r="T39" i="2"/>
  <c r="S39" i="2"/>
  <c r="R39" i="2"/>
  <c r="Q39" i="2"/>
  <c r="X38" i="2"/>
  <c r="V38" i="2"/>
  <c r="U38" i="2"/>
  <c r="T38" i="2"/>
  <c r="S38" i="2"/>
  <c r="R38" i="2"/>
  <c r="Q38" i="2"/>
  <c r="X37" i="2"/>
  <c r="V37" i="2"/>
  <c r="U37" i="2"/>
  <c r="T37" i="2"/>
  <c r="S37" i="2"/>
  <c r="R37" i="2"/>
  <c r="Q37" i="2"/>
  <c r="X36" i="2"/>
  <c r="V36" i="2"/>
  <c r="U36" i="2"/>
  <c r="T36" i="2"/>
  <c r="S36" i="2"/>
  <c r="R36" i="2"/>
  <c r="Q36" i="2"/>
  <c r="X35" i="2"/>
  <c r="V35" i="2"/>
  <c r="U35" i="2"/>
  <c r="T35" i="2"/>
  <c r="S35" i="2"/>
  <c r="R35" i="2"/>
  <c r="Q35" i="2"/>
  <c r="X34" i="2"/>
  <c r="V34" i="2"/>
  <c r="U34" i="2"/>
  <c r="T34" i="2"/>
  <c r="S34" i="2"/>
  <c r="R34" i="2"/>
  <c r="Q34" i="2"/>
  <c r="X33" i="2"/>
  <c r="V33" i="2"/>
  <c r="U33" i="2"/>
  <c r="T33" i="2"/>
  <c r="S33" i="2"/>
  <c r="R33" i="2"/>
  <c r="Q33" i="2"/>
  <c r="X32" i="2"/>
  <c r="V32" i="2"/>
  <c r="U32" i="2"/>
  <c r="T32" i="2"/>
  <c r="S32" i="2"/>
  <c r="R32" i="2"/>
  <c r="Q32" i="2"/>
  <c r="X31" i="2"/>
  <c r="V31" i="2"/>
  <c r="U31" i="2"/>
  <c r="T31" i="2"/>
  <c r="S31" i="2"/>
  <c r="R31" i="2"/>
  <c r="Q31" i="2"/>
  <c r="X30" i="2"/>
  <c r="V30" i="2"/>
  <c r="U30" i="2"/>
  <c r="T30" i="2"/>
  <c r="S30" i="2"/>
  <c r="R30" i="2"/>
  <c r="Q30" i="2"/>
  <c r="X29" i="2"/>
  <c r="V29" i="2"/>
  <c r="U29" i="2"/>
  <c r="T29" i="2"/>
  <c r="S29" i="2"/>
  <c r="R29" i="2"/>
  <c r="Q29" i="2"/>
  <c r="X28" i="2"/>
  <c r="V28" i="2"/>
  <c r="U28" i="2"/>
  <c r="T28" i="2"/>
  <c r="S28" i="2"/>
  <c r="R28" i="2"/>
  <c r="Q28" i="2"/>
  <c r="X27" i="2"/>
  <c r="V27" i="2"/>
  <c r="U27" i="2"/>
  <c r="T27" i="2"/>
  <c r="S27" i="2"/>
  <c r="R27" i="2"/>
  <c r="Q27" i="2"/>
  <c r="X26" i="2"/>
  <c r="V26" i="2"/>
  <c r="U26" i="2"/>
  <c r="T26" i="2"/>
  <c r="S26" i="2"/>
  <c r="R26" i="2"/>
  <c r="Q26" i="2"/>
  <c r="X25" i="2"/>
  <c r="V25" i="2"/>
  <c r="U25" i="2"/>
  <c r="T25" i="2"/>
  <c r="S25" i="2"/>
  <c r="R25" i="2"/>
  <c r="Q25" i="2"/>
  <c r="X24" i="2"/>
  <c r="V24" i="2"/>
  <c r="U24" i="2"/>
  <c r="T24" i="2"/>
  <c r="S24" i="2"/>
  <c r="R24" i="2"/>
  <c r="Q24" i="2"/>
  <c r="X23" i="2"/>
  <c r="V23" i="2"/>
  <c r="U23" i="2"/>
  <c r="T23" i="2"/>
  <c r="S23" i="2"/>
  <c r="R23" i="2"/>
  <c r="Q23" i="2"/>
  <c r="X22" i="2"/>
  <c r="V22" i="2"/>
  <c r="U22" i="2"/>
  <c r="T22" i="2"/>
  <c r="S22" i="2"/>
  <c r="R22" i="2"/>
  <c r="Q22" i="2"/>
  <c r="X21" i="2"/>
  <c r="V21" i="2"/>
  <c r="U21" i="2"/>
  <c r="T21" i="2"/>
  <c r="S21" i="2"/>
  <c r="R21" i="2"/>
  <c r="Q21" i="2"/>
  <c r="X20" i="2"/>
  <c r="V20" i="2"/>
  <c r="U20" i="2"/>
  <c r="T20" i="2"/>
  <c r="S20" i="2"/>
  <c r="R20" i="2"/>
  <c r="Q20" i="2"/>
  <c r="X19" i="2"/>
  <c r="V19" i="2"/>
  <c r="U19" i="2"/>
  <c r="T19" i="2"/>
  <c r="S19" i="2"/>
  <c r="R19" i="2"/>
  <c r="Q19" i="2"/>
  <c r="X18" i="2"/>
  <c r="V18" i="2"/>
  <c r="U18" i="2"/>
  <c r="T18" i="2"/>
  <c r="S18" i="2"/>
  <c r="R18" i="2"/>
  <c r="Q18" i="2"/>
  <c r="X17" i="2"/>
  <c r="V17" i="2"/>
  <c r="U17" i="2"/>
  <c r="T17" i="2"/>
  <c r="S17" i="2"/>
  <c r="R17" i="2"/>
  <c r="Q17" i="2"/>
  <c r="X16" i="2"/>
  <c r="V16" i="2"/>
  <c r="U16" i="2"/>
  <c r="T16" i="2"/>
  <c r="S16" i="2"/>
  <c r="R16" i="2"/>
  <c r="Q16" i="2"/>
  <c r="X15" i="2"/>
  <c r="V15" i="2"/>
  <c r="U15" i="2"/>
  <c r="T15" i="2"/>
  <c r="S15" i="2"/>
  <c r="R15" i="2"/>
  <c r="Q15" i="2"/>
  <c r="X14" i="2"/>
  <c r="V14" i="2"/>
  <c r="U14" i="2"/>
  <c r="T14" i="2"/>
  <c r="S14" i="2"/>
  <c r="R14" i="2"/>
  <c r="Q14" i="2"/>
  <c r="X13" i="2"/>
  <c r="V13" i="2"/>
  <c r="U13" i="2"/>
  <c r="T13" i="2"/>
  <c r="S13" i="2"/>
  <c r="R13" i="2"/>
  <c r="Q13" i="2"/>
  <c r="X12" i="2"/>
  <c r="V12" i="2"/>
  <c r="U12" i="2"/>
  <c r="T12" i="2"/>
  <c r="S12" i="2"/>
  <c r="R12" i="2"/>
  <c r="Q12" i="2"/>
  <c r="X11" i="2"/>
  <c r="V11" i="2"/>
  <c r="U11" i="2"/>
  <c r="T11" i="2"/>
  <c r="S11" i="2"/>
  <c r="R11" i="2"/>
  <c r="Q11" i="2"/>
  <c r="X10" i="2"/>
  <c r="V10" i="2"/>
  <c r="U10" i="2"/>
  <c r="T10" i="2"/>
  <c r="S10" i="2"/>
  <c r="R10" i="2"/>
  <c r="Q10" i="2"/>
  <c r="X9" i="2"/>
  <c r="V9" i="2"/>
  <c r="U9" i="2"/>
  <c r="T9" i="2"/>
  <c r="S9" i="2"/>
  <c r="R9" i="2"/>
  <c r="Q9" i="2"/>
  <c r="X8" i="2"/>
  <c r="V8" i="2"/>
  <c r="U8" i="2"/>
  <c r="T8" i="2"/>
  <c r="S8" i="2"/>
  <c r="R8" i="2"/>
  <c r="Q8" i="2"/>
  <c r="X7" i="2"/>
  <c r="V7" i="2"/>
  <c r="U7" i="2"/>
  <c r="T7" i="2"/>
  <c r="S7" i="2"/>
  <c r="R7" i="2"/>
  <c r="Q7" i="2"/>
  <c r="X6" i="2"/>
  <c r="V6" i="2"/>
  <c r="U6" i="2"/>
  <c r="T6" i="2"/>
  <c r="S6" i="2"/>
  <c r="R6" i="2"/>
  <c r="Q6" i="2"/>
  <c r="X5" i="2"/>
  <c r="V5" i="2"/>
  <c r="U5" i="2"/>
  <c r="T5" i="2"/>
  <c r="S5" i="2"/>
  <c r="R5" i="2"/>
  <c r="Q5" i="2"/>
  <c r="X4" i="2"/>
  <c r="V4" i="2"/>
  <c r="U4" i="2"/>
  <c r="T4" i="2"/>
  <c r="S4" i="2"/>
  <c r="R4" i="2"/>
  <c r="Q4" i="2"/>
  <c r="X3" i="2"/>
  <c r="V3" i="2"/>
  <c r="U3" i="2"/>
  <c r="T3" i="2"/>
  <c r="S3" i="2"/>
  <c r="R3" i="2"/>
  <c r="Q3" i="2"/>
  <c r="X2" i="2"/>
  <c r="V2" i="2"/>
  <c r="U2" i="2"/>
  <c r="T2" i="2"/>
  <c r="S2" i="2"/>
  <c r="R2" i="2"/>
  <c r="Q2" i="2"/>
  <c r="W33" i="2" l="1"/>
  <c r="W10" i="2"/>
  <c r="W3" i="2"/>
  <c r="W18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7" i="2"/>
  <c r="W16" i="2"/>
  <c r="W15" i="2"/>
  <c r="W14" i="2"/>
  <c r="W13" i="2"/>
  <c r="W12" i="2"/>
  <c r="W11" i="2"/>
  <c r="W9" i="2"/>
  <c r="W8" i="2"/>
  <c r="W7" i="2"/>
  <c r="W6" i="2"/>
  <c r="W5" i="2"/>
  <c r="W4" i="2"/>
  <c r="W2" i="2"/>
  <c r="W50" i="2"/>
  <c r="W48" i="2"/>
  <c r="W45" i="2"/>
  <c r="W42" i="2"/>
  <c r="W41" i="2"/>
  <c r="W34" i="2"/>
  <c r="F9" i="3"/>
  <c r="W53" i="2"/>
  <c r="W52" i="2"/>
  <c r="W51" i="2"/>
  <c r="W49" i="2"/>
  <c r="W47" i="2"/>
  <c r="W46" i="2"/>
  <c r="W44" i="2"/>
  <c r="W43" i="2"/>
  <c r="W40" i="2"/>
  <c r="W39" i="2"/>
  <c r="W38" i="2"/>
  <c r="W37" i="2"/>
  <c r="W36" i="2"/>
  <c r="W35" i="2"/>
  <c r="W19" i="2"/>
</calcChain>
</file>

<file path=xl/sharedStrings.xml><?xml version="1.0" encoding="utf-8"?>
<sst xmlns="http://schemas.openxmlformats.org/spreadsheetml/2006/main" count="506" uniqueCount="237">
  <si>
    <t>no</t>
  </si>
  <si>
    <t>id_motor</t>
  </si>
  <si>
    <t>sumber</t>
  </si>
  <si>
    <t>no_sumber</t>
  </si>
  <si>
    <t>jenis_motor</t>
  </si>
  <si>
    <t>merk</t>
  </si>
  <si>
    <t>tahun</t>
  </si>
  <si>
    <t>nopol</t>
  </si>
  <si>
    <t>pajak_stnk</t>
  </si>
  <si>
    <t>warna</t>
  </si>
  <si>
    <t>harga_estimasi</t>
  </si>
  <si>
    <t>cc</t>
  </si>
  <si>
    <t>efisiensi_bbm</t>
  </si>
  <si>
    <t>kondisi_fisik</t>
  </si>
  <si>
    <t>status</t>
  </si>
  <si>
    <t>foto_url</t>
  </si>
  <si>
    <t>masa_pajak_bulan</t>
  </si>
  <si>
    <t>skor_harga</t>
  </si>
  <si>
    <t>skor_cc</t>
  </si>
  <si>
    <t>skor_merk</t>
  </si>
  <si>
    <t>skor_tahun</t>
  </si>
  <si>
    <t>skor_bbm</t>
  </si>
  <si>
    <t>skor_pajak</t>
  </si>
  <si>
    <t>skor_fisik</t>
  </si>
  <si>
    <t>catatan</t>
  </si>
  <si>
    <t>MTR001</t>
  </si>
  <si>
    <t>M57 PANGGUNG (AGUNG)</t>
  </si>
  <si>
    <t>ADV 160</t>
  </si>
  <si>
    <t>Honda</t>
  </si>
  <si>
    <t>G 3522 BRF</t>
  </si>
  <si>
    <t>HITAM</t>
  </si>
  <si>
    <t>ready</t>
  </si>
  <si>
    <t>Data dari gambar; harga/cc/efisiensi/kondisi adalah estimasi awal untuk simulasi SPK, silakan validasi dengan showroom.</t>
  </si>
  <si>
    <t>MTR002</t>
  </si>
  <si>
    <t>AEROX ALPHA CBS</t>
  </si>
  <si>
    <t>Yamaha</t>
  </si>
  <si>
    <t>G 6979 CY</t>
  </si>
  <si>
    <t>MTR003</t>
  </si>
  <si>
    <t>BEAT DELUXE KEYLES</t>
  </si>
  <si>
    <t>G 4384 AZG</t>
  </si>
  <si>
    <t>MTR004</t>
  </si>
  <si>
    <t>BEAT CBS</t>
  </si>
  <si>
    <t>G 6549 CFF</t>
  </si>
  <si>
    <t>MTR005</t>
  </si>
  <si>
    <t>G 3779 CGF</t>
  </si>
  <si>
    <t>MTR006</t>
  </si>
  <si>
    <t>G 2427 CDF</t>
  </si>
  <si>
    <t>BIRU</t>
  </si>
  <si>
    <t>MTR007</t>
  </si>
  <si>
    <t>BEAT STREET</t>
  </si>
  <si>
    <t>G 2679 AVB</t>
  </si>
  <si>
    <t>MTR008</t>
  </si>
  <si>
    <t>G 3840 CDF</t>
  </si>
  <si>
    <t>MTR009</t>
  </si>
  <si>
    <t>G 5750 DBG</t>
  </si>
  <si>
    <t>COKLAT</t>
  </si>
  <si>
    <t>MTR010</t>
  </si>
  <si>
    <t>CRF</t>
  </si>
  <si>
    <t>G 5846 BSF</t>
  </si>
  <si>
    <t>MTR011</t>
  </si>
  <si>
    <t>FILANO</t>
  </si>
  <si>
    <t>G 2114 JBG</t>
  </si>
  <si>
    <t>UNGU MUDA</t>
  </si>
  <si>
    <t>MTR012</t>
  </si>
  <si>
    <t>FREEGO S</t>
  </si>
  <si>
    <t>G 3719 AIG</t>
  </si>
  <si>
    <t>ABU ABU</t>
  </si>
  <si>
    <t>MTR013</t>
  </si>
  <si>
    <t>FREEGO</t>
  </si>
  <si>
    <t>G 2248 RN</t>
  </si>
  <si>
    <t>PERAK</t>
  </si>
  <si>
    <t>MTR014</t>
  </si>
  <si>
    <t>GEAR ULTIMA</t>
  </si>
  <si>
    <t>G 2042 JDG</t>
  </si>
  <si>
    <t>MTR015</t>
  </si>
  <si>
    <t>MX KING</t>
  </si>
  <si>
    <t>G 6258 ATG</t>
  </si>
  <si>
    <t>MTR016</t>
  </si>
  <si>
    <t>G 5814 AY</t>
  </si>
  <si>
    <t>MERAH PUTIH</t>
  </si>
  <si>
    <t>MTR017</t>
  </si>
  <si>
    <t>NMAX NEO S</t>
  </si>
  <si>
    <t>G 6158 CY</t>
  </si>
  <si>
    <t>PUTIH</t>
  </si>
  <si>
    <t>MTR018</t>
  </si>
  <si>
    <t>PCX 160 CBS</t>
  </si>
  <si>
    <t>G 2479 BLF</t>
  </si>
  <si>
    <t>MERAH</t>
  </si>
  <si>
    <t>MTR019</t>
  </si>
  <si>
    <t>PCX ABS</t>
  </si>
  <si>
    <t>G 2355 BPF</t>
  </si>
  <si>
    <t>MTR020</t>
  </si>
  <si>
    <t>G 5706 BUG</t>
  </si>
  <si>
    <t>MTR021</t>
  </si>
  <si>
    <t>SATRIA</t>
  </si>
  <si>
    <t>Suzuki</t>
  </si>
  <si>
    <t>G 2988 NN</t>
  </si>
  <si>
    <t>MTR022</t>
  </si>
  <si>
    <t>SCOOPY FASHION</t>
  </si>
  <si>
    <t>G 5334 DBG</t>
  </si>
  <si>
    <t>MTR023</t>
  </si>
  <si>
    <t>VARIO 125</t>
  </si>
  <si>
    <t>G 2911 JBG</t>
  </si>
  <si>
    <t>MTR024</t>
  </si>
  <si>
    <t>VESPA SPRINT</t>
  </si>
  <si>
    <t>Vespa</t>
  </si>
  <si>
    <t>G 4653 BNF</t>
  </si>
  <si>
    <t>KUNING</t>
  </si>
  <si>
    <t>MTR025</t>
  </si>
  <si>
    <t>M57 SPORT (TEDI)</t>
  </si>
  <si>
    <t>G 6654 BKF</t>
  </si>
  <si>
    <t>MTR026</t>
  </si>
  <si>
    <t>ADV 160 CBS</t>
  </si>
  <si>
    <t>G 6268 CJG</t>
  </si>
  <si>
    <t>MTR027</t>
  </si>
  <si>
    <t>G 3084 CHG</t>
  </si>
  <si>
    <t>MTR028</t>
  </si>
  <si>
    <t>BEAT DELUXE KEYLESS</t>
  </si>
  <si>
    <t>G 6415 CAF</t>
  </si>
  <si>
    <t>HIJAU</t>
  </si>
  <si>
    <t>MTR029</t>
  </si>
  <si>
    <t>G 4735 CLG</t>
  </si>
  <si>
    <t>MTR030</t>
  </si>
  <si>
    <t>CBR 150R</t>
  </si>
  <si>
    <t>G 4513 BLG</t>
  </si>
  <si>
    <t>MTR031</t>
  </si>
  <si>
    <t>G 5918 CAF</t>
  </si>
  <si>
    <t>MTR032</t>
  </si>
  <si>
    <t>NINJA 250F1</t>
  </si>
  <si>
    <t>Kawasaki</t>
  </si>
  <si>
    <t>G 4167 JN</t>
  </si>
  <si>
    <t>MTR033</t>
  </si>
  <si>
    <t>G 5366 CCF</t>
  </si>
  <si>
    <t>MTR034</t>
  </si>
  <si>
    <t>SCOOPY STYLISH</t>
  </si>
  <si>
    <t>G 3368 BSG</t>
  </si>
  <si>
    <t>MTR035</t>
  </si>
  <si>
    <t>VESPA PRIMAVERA 150 I GET ABS</t>
  </si>
  <si>
    <t>G 3628 VN</t>
  </si>
  <si>
    <t>ORANGE</t>
  </si>
  <si>
    <t>MTR036</t>
  </si>
  <si>
    <t>M57 SPORT2 (URI)</t>
  </si>
  <si>
    <t>AEROX CONNECTED</t>
  </si>
  <si>
    <t>G 2797 BMG</t>
  </si>
  <si>
    <t>HITAM BIRU</t>
  </si>
  <si>
    <t>MTR037</t>
  </si>
  <si>
    <t>KEEWAY SHINY 150</t>
  </si>
  <si>
    <t>Keeway</t>
  </si>
  <si>
    <t>G 2981 VN</t>
  </si>
  <si>
    <t>BIRU MUDA</t>
  </si>
  <si>
    <t>MTR038</t>
  </si>
  <si>
    <t>MT 25</t>
  </si>
  <si>
    <t>G 5567 APG</t>
  </si>
  <si>
    <t>MTR039</t>
  </si>
  <si>
    <t>SATRIA FU 150 F1</t>
  </si>
  <si>
    <t>G 5740 ADF</t>
  </si>
  <si>
    <t>MTR040</t>
  </si>
  <si>
    <t>SCOOPY SPORTY</t>
  </si>
  <si>
    <t>G 6569 BSF</t>
  </si>
  <si>
    <t>MERAH HITAM</t>
  </si>
  <si>
    <t>MTR041</t>
  </si>
  <si>
    <t>VARIO 150</t>
  </si>
  <si>
    <t>G 3116 XP</t>
  </si>
  <si>
    <t>MTR042</t>
  </si>
  <si>
    <t>VARIO 160 ABS</t>
  </si>
  <si>
    <t>G 3965 AYG</t>
  </si>
  <si>
    <t>MTR043</t>
  </si>
  <si>
    <t>XSR 155</t>
  </si>
  <si>
    <t>G 3586 BNG</t>
  </si>
  <si>
    <t>MTR044</t>
  </si>
  <si>
    <t>M57 BANJARAN (ALIM)</t>
  </si>
  <si>
    <t>G 2796 CAF</t>
  </si>
  <si>
    <t>MTR045</t>
  </si>
  <si>
    <t>G 3512 BTF</t>
  </si>
  <si>
    <t>MTR046</t>
  </si>
  <si>
    <t>GEAR S</t>
  </si>
  <si>
    <t>G 4292 ASG</t>
  </si>
  <si>
    <t>MTR047</t>
  </si>
  <si>
    <t>GENIO</t>
  </si>
  <si>
    <t>G 4549 AYF</t>
  </si>
  <si>
    <t>MTR048</t>
  </si>
  <si>
    <t>NINJA 150 F1</t>
  </si>
  <si>
    <t>G 4540 HI</t>
  </si>
  <si>
    <t>MTR049</t>
  </si>
  <si>
    <t>NMAX NEW</t>
  </si>
  <si>
    <t>G 6744 BEF</t>
  </si>
  <si>
    <t>MTR050</t>
  </si>
  <si>
    <t>SATRIA FU150F1</t>
  </si>
  <si>
    <t>G 6534 QN</t>
  </si>
  <si>
    <t>MTR051</t>
  </si>
  <si>
    <t>G 6698 OJ</t>
  </si>
  <si>
    <t>MTR052</t>
  </si>
  <si>
    <t>SCOOPY NEW PRESTIGE</t>
  </si>
  <si>
    <t>G 5207 BZF</t>
  </si>
  <si>
    <t>kode</t>
  </si>
  <si>
    <t>kriteria</t>
  </si>
  <si>
    <t>jenis_data</t>
  </si>
  <si>
    <t>sifat</t>
  </si>
  <si>
    <t>bobot_kepentingan</t>
  </si>
  <si>
    <t>bobot_normalisasi</t>
  </si>
  <si>
    <t>skala_penilaian</t>
  </si>
  <si>
    <t>C1</t>
  </si>
  <si>
    <t>Harga</t>
  </si>
  <si>
    <t>Kuantitatif</t>
  </si>
  <si>
    <t>Cost</t>
  </si>
  <si>
    <t>&lt;5jt=1; 5-10jt=2; 10-15jt=3; 15-20jt=4; &gt;20jt=5</t>
  </si>
  <si>
    <t>C2</t>
  </si>
  <si>
    <t>CC / Kapasitas Mesin</t>
  </si>
  <si>
    <t>Benefit</t>
  </si>
  <si>
    <t>&lt;110=1; 110-125=2; 126-150=3; 151-160=4; &gt;160=5</t>
  </si>
  <si>
    <t>C3</t>
  </si>
  <si>
    <t>Merk</t>
  </si>
  <si>
    <t>Kualitatif</t>
  </si>
  <si>
    <t>Honda=5; Yamaha=4; Suzuki/Kawasaki/Vespa=3; Keeway=2; Lainnya=1</t>
  </si>
  <si>
    <t>C4</t>
  </si>
  <si>
    <t>Tahun Motor</t>
  </si>
  <si>
    <t>&lt;2015=1; 2015-2017=2; 2018-2020=3; 2021-2022=4; &gt;=2023=5</t>
  </si>
  <si>
    <t>C5</t>
  </si>
  <si>
    <t>Efisiensi BBM</t>
  </si>
  <si>
    <t>&lt;30=1; 30-40=2; 41-50=3; 51-60=4; &gt;60=5</t>
  </si>
  <si>
    <t>C6</t>
  </si>
  <si>
    <t>Masa Pajak STNK</t>
  </si>
  <si>
    <t>&lt;3 bln=1; 3-6=2; 6-9=3; 9-12=4; &gt;12=5</t>
  </si>
  <si>
    <t>C7</t>
  </si>
  <si>
    <t>Kondisi Fisik</t>
  </si>
  <si>
    <t>1=Rusak berat; 2=Banyak cacat; 3=Cukup; 4=Terawat; 5=Mulus</t>
  </si>
  <si>
    <t>Total</t>
  </si>
  <si>
    <t>Ringkasan Data Master</t>
  </si>
  <si>
    <t>Total Unit</t>
  </si>
  <si>
    <t>Sumber</t>
  </si>
  <si>
    <t>Jumlah Unit</t>
  </si>
  <si>
    <t>Rata-rata Tahun</t>
  </si>
  <si>
    <t>Total Cabang/Sumber</t>
  </si>
  <si>
    <t>Total Merk</t>
  </si>
  <si>
    <t>Unit Ready</t>
  </si>
  <si>
    <t>Harga Estimasi Rata-rata</t>
  </si>
  <si>
    <t>Tahun Termuda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</si>
</sst>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Rp&quot;#,##0"/>
    <numFmt numFmtId="166" formatCode="0.0000"/>
  </numFmts>
  <fonts count="6">
    <font>
      <sz val="11"/>
      <name val="Carlito"/>
    </font>
    <font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5" fontId="1" fillId="0" borderId="0" xfId="0" applyNumberFormat="1" applyFont="1"/>
    <xf numFmtId="166" fontId="1" fillId="0" borderId="0" xfId="0" applyNumberFormat="1" applyFont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2" fontId="1" fillId="3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166" fontId="5" fillId="3" borderId="0" xfId="0" applyNumberFormat="1" applyFont="1" applyFill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MotorTable" displayName="MasterMotorTable" ref="A1:Y53" headerRowDxfId="36" dataDxfId="10">
  <tableColumns count="25">
    <tableColumn id="1" xr3:uid="{00000000-0010-0000-0000-000001000000}" name="no" dataDxfId="35"/>
    <tableColumn id="2" xr3:uid="{00000000-0010-0000-0000-000002000000}" name="id_motor" dataDxfId="34"/>
    <tableColumn id="3" xr3:uid="{00000000-0010-0000-0000-000003000000}" name="sumber" dataDxfId="33"/>
    <tableColumn id="4" xr3:uid="{00000000-0010-0000-0000-000004000000}" name="no_sumber" dataDxfId="32"/>
    <tableColumn id="5" xr3:uid="{00000000-0010-0000-0000-000005000000}" name="jenis_motor" dataDxfId="31"/>
    <tableColumn id="6" xr3:uid="{00000000-0010-0000-0000-000006000000}" name="merk" dataDxfId="30"/>
    <tableColumn id="7" xr3:uid="{00000000-0010-0000-0000-000007000000}" name="tahun" dataDxfId="29"/>
    <tableColumn id="8" xr3:uid="{00000000-0010-0000-0000-000008000000}" name="nopol" dataDxfId="28"/>
    <tableColumn id="9" xr3:uid="{00000000-0010-0000-0000-000009000000}" name="pajak_stnk" dataDxfId="27"/>
    <tableColumn id="10" xr3:uid="{00000000-0010-0000-0000-00000A000000}" name="warna" dataDxfId="26"/>
    <tableColumn id="11" xr3:uid="{00000000-0010-0000-0000-00000B000000}" name="harga_estimasi" dataDxfId="25"/>
    <tableColumn id="12" xr3:uid="{00000000-0010-0000-0000-00000C000000}" name="cc" dataDxfId="24"/>
    <tableColumn id="13" xr3:uid="{00000000-0010-0000-0000-00000D000000}" name="efisiensi_bbm" dataDxfId="23"/>
    <tableColumn id="14" xr3:uid="{00000000-0010-0000-0000-00000E000000}" name="kondisi_fisik" dataDxfId="22"/>
    <tableColumn id="15" xr3:uid="{00000000-0010-0000-0000-00000F000000}" name="status" dataDxfId="21"/>
    <tableColumn id="16" xr3:uid="{00000000-0010-0000-0000-000010000000}" name="foto_url" dataDxfId="20"/>
    <tableColumn id="17" xr3:uid="{00000000-0010-0000-0000-000011000000}" name="masa_pajak_bulan" dataDxfId="19"/>
    <tableColumn id="18" xr3:uid="{00000000-0010-0000-0000-000012000000}" name="skor_harga" dataDxfId="18"/>
    <tableColumn id="19" xr3:uid="{00000000-0010-0000-0000-000013000000}" name="skor_cc" dataDxfId="17"/>
    <tableColumn id="20" xr3:uid="{00000000-0010-0000-0000-000014000000}" name="skor_merk" dataDxfId="16"/>
    <tableColumn id="21" xr3:uid="{00000000-0010-0000-0000-000015000000}" name="skor_tahun" dataDxfId="15"/>
    <tableColumn id="22" xr3:uid="{00000000-0010-0000-0000-000016000000}" name="skor_bbm" dataDxfId="14"/>
    <tableColumn id="23" xr3:uid="{00000000-0010-0000-0000-000017000000}" name="skor_pajak" dataDxfId="13"/>
    <tableColumn id="24" xr3:uid="{00000000-0010-0000-0000-000018000000}" name="skor_fisik" dataDxfId="12"/>
    <tableColumn id="25" xr3:uid="{00000000-0010-0000-0000-000019000000}" name="catatan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riteriaSPKTable" displayName="KriteriaSPKTable" ref="A1:G8" headerRowDxfId="2" dataDxfId="0" totalsRowDxfId="1">
  <tableColumns count="7">
    <tableColumn id="1" xr3:uid="{00000000-0010-0000-0100-000001000000}" name="kode" dataDxfId="9"/>
    <tableColumn id="2" xr3:uid="{00000000-0010-0000-0100-000002000000}" name="kriteria" dataDxfId="8"/>
    <tableColumn id="3" xr3:uid="{00000000-0010-0000-0100-000003000000}" name="jenis_data" dataDxfId="7"/>
    <tableColumn id="4" xr3:uid="{00000000-0010-0000-0100-000004000000}" name="sifat" dataDxfId="6"/>
    <tableColumn id="5" xr3:uid="{00000000-0010-0000-0100-000005000000}" name="bobot_kepentingan" dataDxfId="5"/>
    <tableColumn id="6" xr3:uid="{00000000-0010-0000-0100-000006000000}" name="bobot_normalisasi" dataDxfId="4"/>
    <tableColumn id="7" xr3:uid="{00000000-0010-0000-0100-000007000000}" name="skala_penilaia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topLeftCell="A19" workbookViewId="0">
      <selection activeCell="E5" sqref="E5"/>
    </sheetView>
  </sheetViews>
  <sheetFormatPr defaultRowHeight="14"/>
  <cols>
    <col min="1" max="1" width="6" customWidth="1"/>
    <col min="2" max="2" width="12" customWidth="1"/>
    <col min="3" max="3" width="22" customWidth="1"/>
    <col min="4" max="4" width="10" customWidth="1"/>
    <col min="5" max="5" width="30" customWidth="1"/>
    <col min="6" max="6" width="14" customWidth="1"/>
    <col min="7" max="7" width="10" customWidth="1"/>
    <col min="8" max="9" width="14" customWidth="1"/>
    <col min="10" max="10" width="16" customWidth="1"/>
    <col min="11" max="11" width="18" customWidth="1"/>
    <col min="12" max="12" width="10" customWidth="1"/>
    <col min="13" max="13" width="15" customWidth="1"/>
    <col min="14" max="14" width="14" customWidth="1"/>
    <col min="15" max="15" width="10" customWidth="1"/>
    <col min="16" max="16" width="18" customWidth="1"/>
    <col min="17" max="24" width="14" customWidth="1"/>
    <col min="25" max="25" width="42" customWidth="1"/>
  </cols>
  <sheetData>
    <row r="1" spans="1:26" ht="14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/>
    </row>
    <row r="2" spans="1:26" ht="14.5">
      <c r="A2" s="7">
        <v>1</v>
      </c>
      <c r="B2" s="7" t="s">
        <v>25</v>
      </c>
      <c r="C2" s="7" t="s">
        <v>26</v>
      </c>
      <c r="D2" s="7">
        <v>1</v>
      </c>
      <c r="E2" s="7" t="s">
        <v>27</v>
      </c>
      <c r="F2" s="7" t="s">
        <v>28</v>
      </c>
      <c r="G2" s="7">
        <v>2023</v>
      </c>
      <c r="H2" s="7" t="s">
        <v>29</v>
      </c>
      <c r="I2" s="8">
        <v>46375</v>
      </c>
      <c r="J2" s="7" t="s">
        <v>30</v>
      </c>
      <c r="K2" s="9">
        <v>28500000</v>
      </c>
      <c r="L2" s="7">
        <v>160</v>
      </c>
      <c r="M2" s="10">
        <v>43</v>
      </c>
      <c r="N2" s="7">
        <v>4</v>
      </c>
      <c r="O2" s="7" t="s">
        <v>31</v>
      </c>
      <c r="P2" s="7"/>
      <c r="Q2" s="7">
        <f t="shared" ref="Q2:Q33" ca="1" si="0">MAX(0,ROUNDUP((I2-TODAY())/30,0))</f>
        <v>6</v>
      </c>
      <c r="R2" s="7">
        <f t="shared" ref="R2:R33" si="1">IF(K2&lt;5000000,1,IF(K2&lt;=10000000,2,IF(K2&lt;=15000000,3,IF(K2&lt;=20000000,4,5))))</f>
        <v>5</v>
      </c>
      <c r="S2" s="7">
        <f t="shared" ref="S2:S33" si="2">IF(L2&lt;110,1,IF(L2&lt;=125,2,IF(L2&lt;=150,3,IF(L2&lt;=160,4,5))))</f>
        <v>4</v>
      </c>
      <c r="T2" s="7">
        <f t="shared" ref="T2:T33" si="3">IF(F2="Honda",5,IF(F2="Yamaha",4,IF(OR(F2="Suzuki",F2="Kawasaki",F2="Vespa"),3,IF(F2="Keeway",2,1))))</f>
        <v>5</v>
      </c>
      <c r="U2" s="7">
        <f t="shared" ref="U2:U33" si="4">IF(G2&lt;2015,1,IF(G2&lt;=2017,2,IF(G2&lt;=2020,3,IF(G2&lt;=2022,4,5))))</f>
        <v>5</v>
      </c>
      <c r="V2" s="7">
        <f t="shared" ref="V2:V33" si="5">IF(M2&lt;30,1,IF(M2&lt;=40,2,IF(M2&lt;=50,3,IF(M2&lt;=60,4,5))))</f>
        <v>3</v>
      </c>
      <c r="W2" s="7">
        <f t="shared" ref="W2:W33" ca="1" si="6">IF(Q2&lt;3,1,IF(Q2&lt;=6,2,IF(Q2&lt;=9,3,IF(Q2&lt;=12,4,5))))</f>
        <v>2</v>
      </c>
      <c r="X2" s="7">
        <f t="shared" ref="X2:X33" si="7">N2</f>
        <v>4</v>
      </c>
      <c r="Y2" s="7" t="s">
        <v>32</v>
      </c>
      <c r="Z2" s="1"/>
    </row>
    <row r="3" spans="1:26" ht="14.5">
      <c r="A3" s="7">
        <v>2</v>
      </c>
      <c r="B3" s="7" t="s">
        <v>33</v>
      </c>
      <c r="C3" s="7" t="s">
        <v>26</v>
      </c>
      <c r="D3" s="7">
        <v>2</v>
      </c>
      <c r="E3" s="7" t="s">
        <v>34</v>
      </c>
      <c r="F3" s="7" t="s">
        <v>35</v>
      </c>
      <c r="G3" s="7">
        <v>2026</v>
      </c>
      <c r="H3" s="7" t="s">
        <v>36</v>
      </c>
      <c r="I3" s="8">
        <v>46437</v>
      </c>
      <c r="J3" s="7" t="s">
        <v>30</v>
      </c>
      <c r="K3" s="9">
        <v>29500000</v>
      </c>
      <c r="L3" s="7">
        <v>155</v>
      </c>
      <c r="M3" s="10">
        <v>40</v>
      </c>
      <c r="N3" s="7">
        <v>5</v>
      </c>
      <c r="O3" s="7" t="s">
        <v>31</v>
      </c>
      <c r="P3" s="7"/>
      <c r="Q3" s="7">
        <f t="shared" ca="1" si="0"/>
        <v>8</v>
      </c>
      <c r="R3" s="7">
        <f t="shared" si="1"/>
        <v>5</v>
      </c>
      <c r="S3" s="7">
        <f t="shared" si="2"/>
        <v>4</v>
      </c>
      <c r="T3" s="7">
        <f t="shared" si="3"/>
        <v>4</v>
      </c>
      <c r="U3" s="7">
        <f t="shared" si="4"/>
        <v>5</v>
      </c>
      <c r="V3" s="7">
        <f t="shared" si="5"/>
        <v>2</v>
      </c>
      <c r="W3" s="7">
        <f t="shared" ca="1" si="6"/>
        <v>3</v>
      </c>
      <c r="X3" s="7">
        <f t="shared" si="7"/>
        <v>5</v>
      </c>
      <c r="Y3" s="7" t="s">
        <v>32</v>
      </c>
      <c r="Z3" s="1"/>
    </row>
    <row r="4" spans="1:26" ht="14.5">
      <c r="A4" s="7">
        <v>3</v>
      </c>
      <c r="B4" s="7" t="s">
        <v>37</v>
      </c>
      <c r="C4" s="7" t="s">
        <v>26</v>
      </c>
      <c r="D4" s="7">
        <v>3</v>
      </c>
      <c r="E4" s="7" t="s">
        <v>38</v>
      </c>
      <c r="F4" s="7" t="s">
        <v>28</v>
      </c>
      <c r="G4" s="7">
        <v>2024</v>
      </c>
      <c r="H4" s="7" t="s">
        <v>39</v>
      </c>
      <c r="I4" s="8">
        <v>46551</v>
      </c>
      <c r="J4" s="7" t="s">
        <v>30</v>
      </c>
      <c r="K4" s="9">
        <v>16500000</v>
      </c>
      <c r="L4" s="7">
        <v>110</v>
      </c>
      <c r="M4" s="10">
        <v>55</v>
      </c>
      <c r="N4" s="7">
        <v>4</v>
      </c>
      <c r="O4" s="7" t="s">
        <v>31</v>
      </c>
      <c r="P4" s="7"/>
      <c r="Q4" s="7">
        <f t="shared" ca="1" si="0"/>
        <v>12</v>
      </c>
      <c r="R4" s="7">
        <f t="shared" si="1"/>
        <v>4</v>
      </c>
      <c r="S4" s="7">
        <f t="shared" si="2"/>
        <v>2</v>
      </c>
      <c r="T4" s="7">
        <f t="shared" si="3"/>
        <v>5</v>
      </c>
      <c r="U4" s="7">
        <f t="shared" si="4"/>
        <v>5</v>
      </c>
      <c r="V4" s="7">
        <f t="shared" si="5"/>
        <v>4</v>
      </c>
      <c r="W4" s="7">
        <f t="shared" ca="1" si="6"/>
        <v>4</v>
      </c>
      <c r="X4" s="7">
        <f t="shared" si="7"/>
        <v>4</v>
      </c>
      <c r="Y4" s="7" t="s">
        <v>32</v>
      </c>
      <c r="Z4" s="1"/>
    </row>
    <row r="5" spans="1:26" ht="14.5">
      <c r="A5" s="7">
        <v>4</v>
      </c>
      <c r="B5" s="7" t="s">
        <v>40</v>
      </c>
      <c r="C5" s="7" t="s">
        <v>26</v>
      </c>
      <c r="D5" s="7">
        <v>4</v>
      </c>
      <c r="E5" s="7" t="s">
        <v>41</v>
      </c>
      <c r="F5" s="7" t="s">
        <v>28</v>
      </c>
      <c r="G5" s="7">
        <v>2025</v>
      </c>
      <c r="H5" s="7" t="s">
        <v>42</v>
      </c>
      <c r="I5" s="8">
        <v>46323</v>
      </c>
      <c r="J5" s="7" t="s">
        <v>30</v>
      </c>
      <c r="K5" s="9">
        <v>17300000</v>
      </c>
      <c r="L5" s="7">
        <v>110</v>
      </c>
      <c r="M5" s="10">
        <v>55</v>
      </c>
      <c r="N5" s="7">
        <v>5</v>
      </c>
      <c r="O5" s="7" t="s">
        <v>31</v>
      </c>
      <c r="P5" s="7"/>
      <c r="Q5" s="7">
        <f t="shared" ca="1" si="0"/>
        <v>4</v>
      </c>
      <c r="R5" s="7">
        <f t="shared" si="1"/>
        <v>4</v>
      </c>
      <c r="S5" s="7">
        <f t="shared" si="2"/>
        <v>2</v>
      </c>
      <c r="T5" s="7">
        <f t="shared" si="3"/>
        <v>5</v>
      </c>
      <c r="U5" s="7">
        <f t="shared" si="4"/>
        <v>5</v>
      </c>
      <c r="V5" s="7">
        <f t="shared" si="5"/>
        <v>4</v>
      </c>
      <c r="W5" s="7">
        <f t="shared" ca="1" si="6"/>
        <v>2</v>
      </c>
      <c r="X5" s="7">
        <f t="shared" si="7"/>
        <v>5</v>
      </c>
      <c r="Y5" s="7" t="s">
        <v>32</v>
      </c>
      <c r="Z5" s="1"/>
    </row>
    <row r="6" spans="1:26" ht="14.5">
      <c r="A6" s="7">
        <v>5</v>
      </c>
      <c r="B6" s="7" t="s">
        <v>43</v>
      </c>
      <c r="C6" s="7" t="s">
        <v>26</v>
      </c>
      <c r="D6" s="7">
        <v>5</v>
      </c>
      <c r="E6" s="7" t="s">
        <v>41</v>
      </c>
      <c r="F6" s="7" t="s">
        <v>28</v>
      </c>
      <c r="G6" s="7">
        <v>2025</v>
      </c>
      <c r="H6" s="7" t="s">
        <v>44</v>
      </c>
      <c r="I6" s="8">
        <v>46346</v>
      </c>
      <c r="J6" s="7" t="s">
        <v>30</v>
      </c>
      <c r="K6" s="9">
        <v>17300000</v>
      </c>
      <c r="L6" s="7">
        <v>110</v>
      </c>
      <c r="M6" s="10">
        <v>55</v>
      </c>
      <c r="N6" s="7">
        <v>5</v>
      </c>
      <c r="O6" s="7" t="s">
        <v>31</v>
      </c>
      <c r="P6" s="7"/>
      <c r="Q6" s="7">
        <f t="shared" ca="1" si="0"/>
        <v>5</v>
      </c>
      <c r="R6" s="7">
        <f t="shared" si="1"/>
        <v>4</v>
      </c>
      <c r="S6" s="7">
        <f t="shared" si="2"/>
        <v>2</v>
      </c>
      <c r="T6" s="7">
        <f t="shared" si="3"/>
        <v>5</v>
      </c>
      <c r="U6" s="7">
        <f t="shared" si="4"/>
        <v>5</v>
      </c>
      <c r="V6" s="7">
        <f t="shared" si="5"/>
        <v>4</v>
      </c>
      <c r="W6" s="7">
        <f t="shared" ca="1" si="6"/>
        <v>2</v>
      </c>
      <c r="X6" s="7">
        <f t="shared" si="7"/>
        <v>5</v>
      </c>
      <c r="Y6" s="7" t="s">
        <v>32</v>
      </c>
      <c r="Z6" s="1"/>
    </row>
    <row r="7" spans="1:26" ht="14.5">
      <c r="A7" s="7">
        <v>6</v>
      </c>
      <c r="B7" s="7" t="s">
        <v>45</v>
      </c>
      <c r="C7" s="7" t="s">
        <v>26</v>
      </c>
      <c r="D7" s="7">
        <v>6</v>
      </c>
      <c r="E7" s="7" t="s">
        <v>38</v>
      </c>
      <c r="F7" s="7" t="s">
        <v>28</v>
      </c>
      <c r="G7" s="7">
        <v>2025</v>
      </c>
      <c r="H7" s="7" t="s">
        <v>46</v>
      </c>
      <c r="I7" s="8">
        <v>46552</v>
      </c>
      <c r="J7" s="7" t="s">
        <v>47</v>
      </c>
      <c r="K7" s="9">
        <v>17500000</v>
      </c>
      <c r="L7" s="7">
        <v>110</v>
      </c>
      <c r="M7" s="10">
        <v>55</v>
      </c>
      <c r="N7" s="7">
        <v>5</v>
      </c>
      <c r="O7" s="7" t="s">
        <v>31</v>
      </c>
      <c r="P7" s="7"/>
      <c r="Q7" s="7">
        <f t="shared" ca="1" si="0"/>
        <v>12</v>
      </c>
      <c r="R7" s="7">
        <f t="shared" si="1"/>
        <v>4</v>
      </c>
      <c r="S7" s="7">
        <f t="shared" si="2"/>
        <v>2</v>
      </c>
      <c r="T7" s="7">
        <f t="shared" si="3"/>
        <v>5</v>
      </c>
      <c r="U7" s="7">
        <f t="shared" si="4"/>
        <v>5</v>
      </c>
      <c r="V7" s="7">
        <f t="shared" si="5"/>
        <v>4</v>
      </c>
      <c r="W7" s="7">
        <f t="shared" ca="1" si="6"/>
        <v>4</v>
      </c>
      <c r="X7" s="7">
        <f t="shared" si="7"/>
        <v>5</v>
      </c>
      <c r="Y7" s="7" t="s">
        <v>32</v>
      </c>
      <c r="Z7" s="1"/>
    </row>
    <row r="8" spans="1:26" ht="14.5">
      <c r="A8" s="7">
        <v>7</v>
      </c>
      <c r="B8" s="7" t="s">
        <v>48</v>
      </c>
      <c r="C8" s="7" t="s">
        <v>26</v>
      </c>
      <c r="D8" s="7">
        <v>7</v>
      </c>
      <c r="E8" s="7" t="s">
        <v>49</v>
      </c>
      <c r="F8" s="7" t="s">
        <v>28</v>
      </c>
      <c r="G8" s="7">
        <v>2025</v>
      </c>
      <c r="H8" s="7" t="s">
        <v>50</v>
      </c>
      <c r="I8" s="8">
        <v>46447</v>
      </c>
      <c r="J8" s="7" t="s">
        <v>30</v>
      </c>
      <c r="K8" s="9">
        <v>16600000</v>
      </c>
      <c r="L8" s="7">
        <v>110</v>
      </c>
      <c r="M8" s="10">
        <v>55</v>
      </c>
      <c r="N8" s="7">
        <v>5</v>
      </c>
      <c r="O8" s="7" t="s">
        <v>31</v>
      </c>
      <c r="P8" s="7"/>
      <c r="Q8" s="7">
        <f t="shared" ca="1" si="0"/>
        <v>8</v>
      </c>
      <c r="R8" s="7">
        <f t="shared" si="1"/>
        <v>4</v>
      </c>
      <c r="S8" s="7">
        <f t="shared" si="2"/>
        <v>2</v>
      </c>
      <c r="T8" s="7">
        <f t="shared" si="3"/>
        <v>5</v>
      </c>
      <c r="U8" s="7">
        <f t="shared" si="4"/>
        <v>5</v>
      </c>
      <c r="V8" s="7">
        <f t="shared" si="5"/>
        <v>4</v>
      </c>
      <c r="W8" s="7">
        <f t="shared" ca="1" si="6"/>
        <v>3</v>
      </c>
      <c r="X8" s="7">
        <f t="shared" si="7"/>
        <v>5</v>
      </c>
      <c r="Y8" s="7" t="s">
        <v>32</v>
      </c>
      <c r="Z8" s="1"/>
    </row>
    <row r="9" spans="1:26" ht="14.5">
      <c r="A9" s="7">
        <v>8</v>
      </c>
      <c r="B9" s="7" t="s">
        <v>51</v>
      </c>
      <c r="C9" s="7" t="s">
        <v>26</v>
      </c>
      <c r="D9" s="7">
        <v>8</v>
      </c>
      <c r="E9" s="7" t="s">
        <v>49</v>
      </c>
      <c r="F9" s="7" t="s">
        <v>28</v>
      </c>
      <c r="G9" s="7">
        <v>2025</v>
      </c>
      <c r="H9" s="7" t="s">
        <v>52</v>
      </c>
      <c r="I9" s="8">
        <v>46563</v>
      </c>
      <c r="J9" s="7" t="s">
        <v>30</v>
      </c>
      <c r="K9" s="9">
        <v>16600000</v>
      </c>
      <c r="L9" s="7">
        <v>110</v>
      </c>
      <c r="M9" s="10">
        <v>55</v>
      </c>
      <c r="N9" s="7">
        <v>5</v>
      </c>
      <c r="O9" s="7" t="s">
        <v>31</v>
      </c>
      <c r="P9" s="7"/>
      <c r="Q9" s="7">
        <f t="shared" ca="1" si="0"/>
        <v>12</v>
      </c>
      <c r="R9" s="7">
        <f t="shared" si="1"/>
        <v>4</v>
      </c>
      <c r="S9" s="7">
        <f t="shared" si="2"/>
        <v>2</v>
      </c>
      <c r="T9" s="7">
        <f t="shared" si="3"/>
        <v>5</v>
      </c>
      <c r="U9" s="7">
        <f t="shared" si="4"/>
        <v>5</v>
      </c>
      <c r="V9" s="7">
        <f t="shared" si="5"/>
        <v>4</v>
      </c>
      <c r="W9" s="7">
        <f t="shared" ca="1" si="6"/>
        <v>4</v>
      </c>
      <c r="X9" s="7">
        <f t="shared" si="7"/>
        <v>5</v>
      </c>
      <c r="Y9" s="7" t="s">
        <v>32</v>
      </c>
      <c r="Z9" s="1"/>
    </row>
    <row r="10" spans="1:26" ht="14.5">
      <c r="A10" s="7">
        <v>9</v>
      </c>
      <c r="B10" s="7" t="s">
        <v>53</v>
      </c>
      <c r="C10" s="7" t="s">
        <v>26</v>
      </c>
      <c r="D10" s="7">
        <v>9</v>
      </c>
      <c r="E10" s="7" t="s">
        <v>49</v>
      </c>
      <c r="F10" s="7" t="s">
        <v>28</v>
      </c>
      <c r="G10" s="7">
        <v>2026</v>
      </c>
      <c r="H10" s="7" t="s">
        <v>54</v>
      </c>
      <c r="I10" s="8">
        <v>46490</v>
      </c>
      <c r="J10" s="7" t="s">
        <v>55</v>
      </c>
      <c r="K10" s="9">
        <v>17400000</v>
      </c>
      <c r="L10" s="7">
        <v>110</v>
      </c>
      <c r="M10" s="10">
        <v>55</v>
      </c>
      <c r="N10" s="7">
        <v>5</v>
      </c>
      <c r="O10" s="7" t="s">
        <v>31</v>
      </c>
      <c r="P10" s="7"/>
      <c r="Q10" s="7">
        <f t="shared" ca="1" si="0"/>
        <v>10</v>
      </c>
      <c r="R10" s="7">
        <f t="shared" si="1"/>
        <v>4</v>
      </c>
      <c r="S10" s="7">
        <f t="shared" si="2"/>
        <v>2</v>
      </c>
      <c r="T10" s="7">
        <f t="shared" si="3"/>
        <v>5</v>
      </c>
      <c r="U10" s="7">
        <f t="shared" si="4"/>
        <v>5</v>
      </c>
      <c r="V10" s="7">
        <f t="shared" si="5"/>
        <v>4</v>
      </c>
      <c r="W10" s="7">
        <f t="shared" ca="1" si="6"/>
        <v>4</v>
      </c>
      <c r="X10" s="7">
        <f t="shared" si="7"/>
        <v>5</v>
      </c>
      <c r="Y10" s="7" t="s">
        <v>32</v>
      </c>
      <c r="Z10" s="1"/>
    </row>
    <row r="11" spans="1:26" ht="14.5">
      <c r="A11" s="7">
        <v>10</v>
      </c>
      <c r="B11" s="7" t="s">
        <v>56</v>
      </c>
      <c r="C11" s="7" t="s">
        <v>26</v>
      </c>
      <c r="D11" s="7">
        <v>10</v>
      </c>
      <c r="E11" s="7" t="s">
        <v>57</v>
      </c>
      <c r="F11" s="7" t="s">
        <v>28</v>
      </c>
      <c r="G11" s="7">
        <v>2024</v>
      </c>
      <c r="H11" s="7" t="s">
        <v>58</v>
      </c>
      <c r="I11" s="8">
        <v>46448</v>
      </c>
      <c r="J11" s="7" t="s">
        <v>30</v>
      </c>
      <c r="K11" s="9">
        <v>31000000</v>
      </c>
      <c r="L11" s="7">
        <v>150</v>
      </c>
      <c r="M11" s="10">
        <v>35</v>
      </c>
      <c r="N11" s="7">
        <v>4</v>
      </c>
      <c r="O11" s="7" t="s">
        <v>31</v>
      </c>
      <c r="P11" s="7"/>
      <c r="Q11" s="7">
        <f t="shared" ca="1" si="0"/>
        <v>8</v>
      </c>
      <c r="R11" s="7">
        <f t="shared" si="1"/>
        <v>5</v>
      </c>
      <c r="S11" s="7">
        <f t="shared" si="2"/>
        <v>3</v>
      </c>
      <c r="T11" s="7">
        <f t="shared" si="3"/>
        <v>5</v>
      </c>
      <c r="U11" s="7">
        <f t="shared" si="4"/>
        <v>5</v>
      </c>
      <c r="V11" s="7">
        <f t="shared" si="5"/>
        <v>2</v>
      </c>
      <c r="W11" s="7">
        <f t="shared" ca="1" si="6"/>
        <v>3</v>
      </c>
      <c r="X11" s="7">
        <f t="shared" si="7"/>
        <v>4</v>
      </c>
      <c r="Y11" s="7" t="s">
        <v>32</v>
      </c>
      <c r="Z11" s="1"/>
    </row>
    <row r="12" spans="1:26" ht="14.5">
      <c r="A12" s="7">
        <v>11</v>
      </c>
      <c r="B12" s="7" t="s">
        <v>59</v>
      </c>
      <c r="C12" s="7" t="s">
        <v>26</v>
      </c>
      <c r="D12" s="7">
        <v>11</v>
      </c>
      <c r="E12" s="7" t="s">
        <v>60</v>
      </c>
      <c r="F12" s="7" t="s">
        <v>35</v>
      </c>
      <c r="G12" s="7">
        <v>2025</v>
      </c>
      <c r="H12" s="7" t="s">
        <v>61</v>
      </c>
      <c r="I12" s="8">
        <v>45959</v>
      </c>
      <c r="J12" s="7" t="s">
        <v>62</v>
      </c>
      <c r="K12" s="9">
        <v>24000000</v>
      </c>
      <c r="L12" s="7">
        <v>125</v>
      </c>
      <c r="M12" s="10">
        <v>50</v>
      </c>
      <c r="N12" s="7">
        <v>5</v>
      </c>
      <c r="O12" s="7" t="s">
        <v>31</v>
      </c>
      <c r="P12" s="7"/>
      <c r="Q12" s="7">
        <f t="shared" ca="1" si="0"/>
        <v>0</v>
      </c>
      <c r="R12" s="7">
        <f t="shared" si="1"/>
        <v>5</v>
      </c>
      <c r="S12" s="7">
        <f t="shared" si="2"/>
        <v>2</v>
      </c>
      <c r="T12" s="7">
        <f t="shared" si="3"/>
        <v>4</v>
      </c>
      <c r="U12" s="7">
        <f t="shared" si="4"/>
        <v>5</v>
      </c>
      <c r="V12" s="7">
        <f t="shared" si="5"/>
        <v>3</v>
      </c>
      <c r="W12" s="7">
        <f t="shared" ca="1" si="6"/>
        <v>1</v>
      </c>
      <c r="X12" s="7">
        <f t="shared" si="7"/>
        <v>5</v>
      </c>
      <c r="Y12" s="7" t="s">
        <v>32</v>
      </c>
      <c r="Z12" s="1"/>
    </row>
    <row r="13" spans="1:26" ht="14.5">
      <c r="A13" s="7">
        <v>12</v>
      </c>
      <c r="B13" s="7" t="s">
        <v>63</v>
      </c>
      <c r="C13" s="7" t="s">
        <v>26</v>
      </c>
      <c r="D13" s="7">
        <v>12</v>
      </c>
      <c r="E13" s="7" t="s">
        <v>64</v>
      </c>
      <c r="F13" s="7" t="s">
        <v>35</v>
      </c>
      <c r="G13" s="7">
        <v>2019</v>
      </c>
      <c r="H13" s="7" t="s">
        <v>65</v>
      </c>
      <c r="I13" s="8">
        <v>46253</v>
      </c>
      <c r="J13" s="7" t="s">
        <v>66</v>
      </c>
      <c r="K13" s="9">
        <v>13500000</v>
      </c>
      <c r="L13" s="7">
        <v>125</v>
      </c>
      <c r="M13" s="10">
        <v>50</v>
      </c>
      <c r="N13" s="7">
        <v>3</v>
      </c>
      <c r="O13" s="7" t="s">
        <v>31</v>
      </c>
      <c r="P13" s="7"/>
      <c r="Q13" s="7">
        <f t="shared" ca="1" si="0"/>
        <v>2</v>
      </c>
      <c r="R13" s="7">
        <f t="shared" si="1"/>
        <v>3</v>
      </c>
      <c r="S13" s="7">
        <f t="shared" si="2"/>
        <v>2</v>
      </c>
      <c r="T13" s="7">
        <f t="shared" si="3"/>
        <v>4</v>
      </c>
      <c r="U13" s="7">
        <f t="shared" si="4"/>
        <v>3</v>
      </c>
      <c r="V13" s="7">
        <f t="shared" si="5"/>
        <v>3</v>
      </c>
      <c r="W13" s="7">
        <f t="shared" ca="1" si="6"/>
        <v>1</v>
      </c>
      <c r="X13" s="7">
        <f t="shared" si="7"/>
        <v>3</v>
      </c>
      <c r="Y13" s="7" t="s">
        <v>32</v>
      </c>
      <c r="Z13" s="1"/>
    </row>
    <row r="14" spans="1:26" ht="14.5">
      <c r="A14" s="7">
        <v>13</v>
      </c>
      <c r="B14" s="7" t="s">
        <v>67</v>
      </c>
      <c r="C14" s="7" t="s">
        <v>26</v>
      </c>
      <c r="D14" s="7">
        <v>13</v>
      </c>
      <c r="E14" s="7" t="s">
        <v>68</v>
      </c>
      <c r="F14" s="7" t="s">
        <v>35</v>
      </c>
      <c r="G14" s="7">
        <v>2019</v>
      </c>
      <c r="H14" s="7" t="s">
        <v>69</v>
      </c>
      <c r="I14" s="8">
        <v>46536</v>
      </c>
      <c r="J14" s="7" t="s">
        <v>70</v>
      </c>
      <c r="K14" s="9">
        <v>13500000</v>
      </c>
      <c r="L14" s="7">
        <v>125</v>
      </c>
      <c r="M14" s="10">
        <v>50</v>
      </c>
      <c r="N14" s="7">
        <v>3</v>
      </c>
      <c r="O14" s="7" t="s">
        <v>31</v>
      </c>
      <c r="P14" s="7"/>
      <c r="Q14" s="7">
        <f t="shared" ca="1" si="0"/>
        <v>11</v>
      </c>
      <c r="R14" s="7">
        <f t="shared" si="1"/>
        <v>3</v>
      </c>
      <c r="S14" s="7">
        <f t="shared" si="2"/>
        <v>2</v>
      </c>
      <c r="T14" s="7">
        <f t="shared" si="3"/>
        <v>4</v>
      </c>
      <c r="U14" s="7">
        <f t="shared" si="4"/>
        <v>3</v>
      </c>
      <c r="V14" s="7">
        <f t="shared" si="5"/>
        <v>3</v>
      </c>
      <c r="W14" s="7">
        <f t="shared" ca="1" si="6"/>
        <v>4</v>
      </c>
      <c r="X14" s="7">
        <f t="shared" si="7"/>
        <v>3</v>
      </c>
      <c r="Y14" s="7" t="s">
        <v>32</v>
      </c>
      <c r="Z14" s="1"/>
    </row>
    <row r="15" spans="1:26" ht="14.5">
      <c r="A15" s="7">
        <v>14</v>
      </c>
      <c r="B15" s="7" t="s">
        <v>71</v>
      </c>
      <c r="C15" s="7" t="s">
        <v>26</v>
      </c>
      <c r="D15" s="7">
        <v>14</v>
      </c>
      <c r="E15" s="7" t="s">
        <v>72</v>
      </c>
      <c r="F15" s="7" t="s">
        <v>35</v>
      </c>
      <c r="G15" s="7">
        <v>2026</v>
      </c>
      <c r="H15" s="7" t="s">
        <v>73</v>
      </c>
      <c r="I15" s="8">
        <v>46499</v>
      </c>
      <c r="J15" s="7" t="s">
        <v>66</v>
      </c>
      <c r="K15" s="9">
        <v>19000000</v>
      </c>
      <c r="L15" s="7">
        <v>125</v>
      </c>
      <c r="M15" s="10">
        <v>50</v>
      </c>
      <c r="N15" s="7">
        <v>5</v>
      </c>
      <c r="O15" s="7" t="s">
        <v>31</v>
      </c>
      <c r="P15" s="7"/>
      <c r="Q15" s="7">
        <f t="shared" ca="1" si="0"/>
        <v>10</v>
      </c>
      <c r="R15" s="7">
        <f t="shared" si="1"/>
        <v>4</v>
      </c>
      <c r="S15" s="7">
        <f t="shared" si="2"/>
        <v>2</v>
      </c>
      <c r="T15" s="7">
        <f t="shared" si="3"/>
        <v>4</v>
      </c>
      <c r="U15" s="7">
        <f t="shared" si="4"/>
        <v>5</v>
      </c>
      <c r="V15" s="7">
        <f t="shared" si="5"/>
        <v>3</v>
      </c>
      <c r="W15" s="7">
        <f t="shared" ca="1" si="6"/>
        <v>4</v>
      </c>
      <c r="X15" s="7">
        <f t="shared" si="7"/>
        <v>5</v>
      </c>
      <c r="Y15" s="7" t="s">
        <v>32</v>
      </c>
      <c r="Z15" s="1"/>
    </row>
    <row r="16" spans="1:26" ht="14.5">
      <c r="A16" s="7">
        <v>15</v>
      </c>
      <c r="B16" s="7" t="s">
        <v>74</v>
      </c>
      <c r="C16" s="7" t="s">
        <v>26</v>
      </c>
      <c r="D16" s="7">
        <v>15</v>
      </c>
      <c r="E16" s="7" t="s">
        <v>75</v>
      </c>
      <c r="F16" s="7" t="s">
        <v>35</v>
      </c>
      <c r="G16" s="7">
        <v>2024</v>
      </c>
      <c r="H16" s="7" t="s">
        <v>76</v>
      </c>
      <c r="I16" s="8">
        <v>46461</v>
      </c>
      <c r="J16" s="7" t="s">
        <v>47</v>
      </c>
      <c r="K16" s="9">
        <v>22500000</v>
      </c>
      <c r="L16" s="7">
        <v>150</v>
      </c>
      <c r="M16" s="10">
        <v>40</v>
      </c>
      <c r="N16" s="7">
        <v>4</v>
      </c>
      <c r="O16" s="7" t="s">
        <v>31</v>
      </c>
      <c r="P16" s="7"/>
      <c r="Q16" s="7">
        <f t="shared" ca="1" si="0"/>
        <v>9</v>
      </c>
      <c r="R16" s="7">
        <f t="shared" si="1"/>
        <v>5</v>
      </c>
      <c r="S16" s="7">
        <f t="shared" si="2"/>
        <v>3</v>
      </c>
      <c r="T16" s="7">
        <f t="shared" si="3"/>
        <v>4</v>
      </c>
      <c r="U16" s="7">
        <f t="shared" si="4"/>
        <v>5</v>
      </c>
      <c r="V16" s="7">
        <f t="shared" si="5"/>
        <v>2</v>
      </c>
      <c r="W16" s="7">
        <f t="shared" ca="1" si="6"/>
        <v>3</v>
      </c>
      <c r="X16" s="7">
        <f t="shared" si="7"/>
        <v>4</v>
      </c>
      <c r="Y16" s="7" t="s">
        <v>32</v>
      </c>
      <c r="Z16" s="1"/>
    </row>
    <row r="17" spans="1:26" ht="14.5">
      <c r="A17" s="7">
        <v>16</v>
      </c>
      <c r="B17" s="7" t="s">
        <v>77</v>
      </c>
      <c r="C17" s="7" t="s">
        <v>26</v>
      </c>
      <c r="D17" s="7">
        <v>16</v>
      </c>
      <c r="E17" s="7" t="s">
        <v>75</v>
      </c>
      <c r="F17" s="7" t="s">
        <v>35</v>
      </c>
      <c r="G17" s="7">
        <v>2025</v>
      </c>
      <c r="H17" s="7" t="s">
        <v>78</v>
      </c>
      <c r="I17" s="8">
        <v>46471</v>
      </c>
      <c r="J17" s="7" t="s">
        <v>79</v>
      </c>
      <c r="K17" s="9">
        <v>23700000</v>
      </c>
      <c r="L17" s="7">
        <v>150</v>
      </c>
      <c r="M17" s="10">
        <v>40</v>
      </c>
      <c r="N17" s="7">
        <v>5</v>
      </c>
      <c r="O17" s="7" t="s">
        <v>31</v>
      </c>
      <c r="P17" s="7"/>
      <c r="Q17" s="7">
        <f t="shared" ca="1" si="0"/>
        <v>9</v>
      </c>
      <c r="R17" s="7">
        <f t="shared" si="1"/>
        <v>5</v>
      </c>
      <c r="S17" s="7">
        <f t="shared" si="2"/>
        <v>3</v>
      </c>
      <c r="T17" s="7">
        <f t="shared" si="3"/>
        <v>4</v>
      </c>
      <c r="U17" s="7">
        <f t="shared" si="4"/>
        <v>5</v>
      </c>
      <c r="V17" s="7">
        <f t="shared" si="5"/>
        <v>2</v>
      </c>
      <c r="W17" s="7">
        <f t="shared" ca="1" si="6"/>
        <v>3</v>
      </c>
      <c r="X17" s="7">
        <f t="shared" si="7"/>
        <v>5</v>
      </c>
      <c r="Y17" s="7" t="s">
        <v>32</v>
      </c>
      <c r="Z17" s="1"/>
    </row>
    <row r="18" spans="1:26" ht="14.5">
      <c r="A18" s="7">
        <v>17</v>
      </c>
      <c r="B18" s="7" t="s">
        <v>80</v>
      </c>
      <c r="C18" s="7" t="s">
        <v>26</v>
      </c>
      <c r="D18" s="7">
        <v>17</v>
      </c>
      <c r="E18" s="7" t="s">
        <v>81</v>
      </c>
      <c r="F18" s="7" t="s">
        <v>35</v>
      </c>
      <c r="G18" s="7">
        <v>2025</v>
      </c>
      <c r="H18" s="7" t="s">
        <v>82</v>
      </c>
      <c r="I18" s="8">
        <v>46400</v>
      </c>
      <c r="J18" s="7" t="s">
        <v>83</v>
      </c>
      <c r="K18" s="9">
        <v>32000000</v>
      </c>
      <c r="L18" s="7">
        <v>155</v>
      </c>
      <c r="M18" s="10">
        <v>40</v>
      </c>
      <c r="N18" s="7">
        <v>5</v>
      </c>
      <c r="O18" s="7" t="s">
        <v>31</v>
      </c>
      <c r="P18" s="7"/>
      <c r="Q18" s="7">
        <f t="shared" ca="1" si="0"/>
        <v>7</v>
      </c>
      <c r="R18" s="7">
        <f t="shared" si="1"/>
        <v>5</v>
      </c>
      <c r="S18" s="7">
        <f t="shared" si="2"/>
        <v>4</v>
      </c>
      <c r="T18" s="7">
        <f t="shared" si="3"/>
        <v>4</v>
      </c>
      <c r="U18" s="7">
        <f t="shared" si="4"/>
        <v>5</v>
      </c>
      <c r="V18" s="7">
        <f t="shared" si="5"/>
        <v>2</v>
      </c>
      <c r="W18" s="7">
        <f t="shared" ca="1" si="6"/>
        <v>3</v>
      </c>
      <c r="X18" s="7">
        <f t="shared" si="7"/>
        <v>5</v>
      </c>
      <c r="Y18" s="7" t="s">
        <v>32</v>
      </c>
      <c r="Z18" s="1"/>
    </row>
    <row r="19" spans="1:26" ht="14.5">
      <c r="A19" s="7">
        <v>18</v>
      </c>
      <c r="B19" s="7" t="s">
        <v>84</v>
      </c>
      <c r="C19" s="7" t="s">
        <v>26</v>
      </c>
      <c r="D19" s="7">
        <v>18</v>
      </c>
      <c r="E19" s="7" t="s">
        <v>85</v>
      </c>
      <c r="F19" s="7" t="s">
        <v>28</v>
      </c>
      <c r="G19" s="7">
        <v>2023</v>
      </c>
      <c r="H19" s="7" t="s">
        <v>86</v>
      </c>
      <c r="I19" s="8">
        <v>46489</v>
      </c>
      <c r="J19" s="7" t="s">
        <v>87</v>
      </c>
      <c r="K19" s="9">
        <v>26000000</v>
      </c>
      <c r="L19" s="7">
        <v>160</v>
      </c>
      <c r="M19" s="10">
        <v>43</v>
      </c>
      <c r="N19" s="7">
        <v>4</v>
      </c>
      <c r="O19" s="7" t="s">
        <v>31</v>
      </c>
      <c r="P19" s="7"/>
      <c r="Q19" s="7">
        <f t="shared" ca="1" si="0"/>
        <v>10</v>
      </c>
      <c r="R19" s="7">
        <f t="shared" si="1"/>
        <v>5</v>
      </c>
      <c r="S19" s="7">
        <f t="shared" si="2"/>
        <v>4</v>
      </c>
      <c r="T19" s="7">
        <f t="shared" si="3"/>
        <v>5</v>
      </c>
      <c r="U19" s="7">
        <f t="shared" si="4"/>
        <v>5</v>
      </c>
      <c r="V19" s="7">
        <f t="shared" si="5"/>
        <v>3</v>
      </c>
      <c r="W19" s="7">
        <f t="shared" ca="1" si="6"/>
        <v>4</v>
      </c>
      <c r="X19" s="7">
        <f t="shared" si="7"/>
        <v>4</v>
      </c>
      <c r="Y19" s="7" t="s">
        <v>32</v>
      </c>
      <c r="Z19" s="1"/>
    </row>
    <row r="20" spans="1:26" ht="14.5">
      <c r="A20" s="7">
        <v>19</v>
      </c>
      <c r="B20" s="7" t="s">
        <v>88</v>
      </c>
      <c r="C20" s="7" t="s">
        <v>26</v>
      </c>
      <c r="D20" s="7">
        <v>19</v>
      </c>
      <c r="E20" s="7" t="s">
        <v>89</v>
      </c>
      <c r="F20" s="7" t="s">
        <v>28</v>
      </c>
      <c r="G20" s="7">
        <v>2023</v>
      </c>
      <c r="H20" s="7" t="s">
        <v>90</v>
      </c>
      <c r="I20" s="8">
        <v>46259</v>
      </c>
      <c r="J20" s="7" t="s">
        <v>30</v>
      </c>
      <c r="K20" s="9">
        <v>26000000</v>
      </c>
      <c r="L20" s="7">
        <v>160</v>
      </c>
      <c r="M20" s="10">
        <v>43</v>
      </c>
      <c r="N20" s="7">
        <v>4</v>
      </c>
      <c r="O20" s="7" t="s">
        <v>31</v>
      </c>
      <c r="P20" s="7"/>
      <c r="Q20" s="7">
        <f t="shared" ca="1" si="0"/>
        <v>2</v>
      </c>
      <c r="R20" s="7">
        <f t="shared" si="1"/>
        <v>5</v>
      </c>
      <c r="S20" s="7">
        <f t="shared" si="2"/>
        <v>4</v>
      </c>
      <c r="T20" s="7">
        <f t="shared" si="3"/>
        <v>5</v>
      </c>
      <c r="U20" s="7">
        <f t="shared" si="4"/>
        <v>5</v>
      </c>
      <c r="V20" s="7">
        <f t="shared" si="5"/>
        <v>3</v>
      </c>
      <c r="W20" s="7">
        <f t="shared" ca="1" si="6"/>
        <v>1</v>
      </c>
      <c r="X20" s="7">
        <f t="shared" si="7"/>
        <v>4</v>
      </c>
      <c r="Y20" s="7" t="s">
        <v>32</v>
      </c>
      <c r="Z20" s="1"/>
    </row>
    <row r="21" spans="1:26" ht="14.5">
      <c r="A21" s="7">
        <v>20</v>
      </c>
      <c r="B21" s="7" t="s">
        <v>91</v>
      </c>
      <c r="C21" s="7" t="s">
        <v>26</v>
      </c>
      <c r="D21" s="7">
        <v>20</v>
      </c>
      <c r="E21" s="7" t="s">
        <v>85</v>
      </c>
      <c r="F21" s="7" t="s">
        <v>28</v>
      </c>
      <c r="G21" s="7">
        <v>2024</v>
      </c>
      <c r="H21" s="7" t="s">
        <v>92</v>
      </c>
      <c r="I21" s="8">
        <v>46521</v>
      </c>
      <c r="J21" s="7" t="s">
        <v>83</v>
      </c>
      <c r="K21" s="9">
        <v>27500000</v>
      </c>
      <c r="L21" s="7">
        <v>160</v>
      </c>
      <c r="M21" s="10">
        <v>43</v>
      </c>
      <c r="N21" s="7">
        <v>4</v>
      </c>
      <c r="O21" s="7" t="s">
        <v>31</v>
      </c>
      <c r="P21" s="7"/>
      <c r="Q21" s="7">
        <f t="shared" ca="1" si="0"/>
        <v>11</v>
      </c>
      <c r="R21" s="7">
        <f t="shared" si="1"/>
        <v>5</v>
      </c>
      <c r="S21" s="7">
        <f t="shared" si="2"/>
        <v>4</v>
      </c>
      <c r="T21" s="7">
        <f t="shared" si="3"/>
        <v>5</v>
      </c>
      <c r="U21" s="7">
        <f t="shared" si="4"/>
        <v>5</v>
      </c>
      <c r="V21" s="7">
        <f t="shared" si="5"/>
        <v>3</v>
      </c>
      <c r="W21" s="7">
        <f t="shared" ca="1" si="6"/>
        <v>4</v>
      </c>
      <c r="X21" s="7">
        <f t="shared" si="7"/>
        <v>4</v>
      </c>
      <c r="Y21" s="7" t="s">
        <v>32</v>
      </c>
      <c r="Z21" s="1"/>
    </row>
    <row r="22" spans="1:26" ht="14.5">
      <c r="A22" s="7">
        <v>21</v>
      </c>
      <c r="B22" s="7" t="s">
        <v>93</v>
      </c>
      <c r="C22" s="7" t="s">
        <v>26</v>
      </c>
      <c r="D22" s="7">
        <v>21</v>
      </c>
      <c r="E22" s="7" t="s">
        <v>94</v>
      </c>
      <c r="F22" s="7" t="s">
        <v>95</v>
      </c>
      <c r="G22" s="7">
        <v>2017</v>
      </c>
      <c r="H22" s="7" t="s">
        <v>96</v>
      </c>
      <c r="I22" s="8">
        <v>46420</v>
      </c>
      <c r="J22" s="7" t="s">
        <v>87</v>
      </c>
      <c r="K22" s="9">
        <v>12000000</v>
      </c>
      <c r="L22" s="7">
        <v>150</v>
      </c>
      <c r="M22" s="10">
        <v>35</v>
      </c>
      <c r="N22" s="7">
        <v>2</v>
      </c>
      <c r="O22" s="7" t="s">
        <v>31</v>
      </c>
      <c r="P22" s="7"/>
      <c r="Q22" s="7">
        <f t="shared" ca="1" si="0"/>
        <v>7</v>
      </c>
      <c r="R22" s="7">
        <f t="shared" si="1"/>
        <v>3</v>
      </c>
      <c r="S22" s="7">
        <f t="shared" si="2"/>
        <v>3</v>
      </c>
      <c r="T22" s="7">
        <f t="shared" si="3"/>
        <v>3</v>
      </c>
      <c r="U22" s="7">
        <f t="shared" si="4"/>
        <v>2</v>
      </c>
      <c r="V22" s="7">
        <f t="shared" si="5"/>
        <v>2</v>
      </c>
      <c r="W22" s="7">
        <f t="shared" ca="1" si="6"/>
        <v>3</v>
      </c>
      <c r="X22" s="7">
        <f t="shared" si="7"/>
        <v>2</v>
      </c>
      <c r="Y22" s="7" t="s">
        <v>32</v>
      </c>
      <c r="Z22" s="1"/>
    </row>
    <row r="23" spans="1:26" ht="14.5">
      <c r="A23" s="7">
        <v>22</v>
      </c>
      <c r="B23" s="7" t="s">
        <v>97</v>
      </c>
      <c r="C23" s="7" t="s">
        <v>26</v>
      </c>
      <c r="D23" s="7">
        <v>22</v>
      </c>
      <c r="E23" s="7" t="s">
        <v>98</v>
      </c>
      <c r="F23" s="7" t="s">
        <v>28</v>
      </c>
      <c r="G23" s="7">
        <v>2026</v>
      </c>
      <c r="H23" s="7" t="s">
        <v>99</v>
      </c>
      <c r="I23" s="8">
        <v>46479</v>
      </c>
      <c r="J23" s="7" t="s">
        <v>30</v>
      </c>
      <c r="K23" s="9">
        <v>19000000</v>
      </c>
      <c r="L23" s="7">
        <v>110</v>
      </c>
      <c r="M23" s="10">
        <v>55</v>
      </c>
      <c r="N23" s="7">
        <v>5</v>
      </c>
      <c r="O23" s="7" t="s">
        <v>31</v>
      </c>
      <c r="P23" s="7"/>
      <c r="Q23" s="7">
        <f t="shared" ca="1" si="0"/>
        <v>9</v>
      </c>
      <c r="R23" s="7">
        <f t="shared" si="1"/>
        <v>4</v>
      </c>
      <c r="S23" s="7">
        <f t="shared" si="2"/>
        <v>2</v>
      </c>
      <c r="T23" s="7">
        <f t="shared" si="3"/>
        <v>5</v>
      </c>
      <c r="U23" s="7">
        <f t="shared" si="4"/>
        <v>5</v>
      </c>
      <c r="V23" s="7">
        <f t="shared" si="5"/>
        <v>4</v>
      </c>
      <c r="W23" s="7">
        <f t="shared" ca="1" si="6"/>
        <v>3</v>
      </c>
      <c r="X23" s="7">
        <f t="shared" si="7"/>
        <v>5</v>
      </c>
      <c r="Y23" s="7" t="s">
        <v>32</v>
      </c>
      <c r="Z23" s="1"/>
    </row>
    <row r="24" spans="1:26" ht="14.5">
      <c r="A24" s="7">
        <v>23</v>
      </c>
      <c r="B24" s="7" t="s">
        <v>100</v>
      </c>
      <c r="C24" s="7" t="s">
        <v>26</v>
      </c>
      <c r="D24" s="7">
        <v>23</v>
      </c>
      <c r="E24" s="7" t="s">
        <v>101</v>
      </c>
      <c r="F24" s="7" t="s">
        <v>28</v>
      </c>
      <c r="G24" s="7">
        <v>2025</v>
      </c>
      <c r="H24" s="7" t="s">
        <v>102</v>
      </c>
      <c r="I24" s="8">
        <v>46343</v>
      </c>
      <c r="J24" s="7" t="s">
        <v>87</v>
      </c>
      <c r="K24" s="9">
        <v>20000000</v>
      </c>
      <c r="L24" s="7">
        <v>125</v>
      </c>
      <c r="M24" s="10">
        <v>52</v>
      </c>
      <c r="N24" s="7">
        <v>5</v>
      </c>
      <c r="O24" s="7" t="s">
        <v>31</v>
      </c>
      <c r="P24" s="7"/>
      <c r="Q24" s="7">
        <f t="shared" ca="1" si="0"/>
        <v>5</v>
      </c>
      <c r="R24" s="7">
        <f t="shared" si="1"/>
        <v>4</v>
      </c>
      <c r="S24" s="7">
        <f t="shared" si="2"/>
        <v>2</v>
      </c>
      <c r="T24" s="7">
        <f t="shared" si="3"/>
        <v>5</v>
      </c>
      <c r="U24" s="7">
        <f t="shared" si="4"/>
        <v>5</v>
      </c>
      <c r="V24" s="7">
        <f t="shared" si="5"/>
        <v>4</v>
      </c>
      <c r="W24" s="7">
        <f t="shared" ca="1" si="6"/>
        <v>2</v>
      </c>
      <c r="X24" s="7">
        <f t="shared" si="7"/>
        <v>5</v>
      </c>
      <c r="Y24" s="7" t="s">
        <v>32</v>
      </c>
      <c r="Z24" s="1"/>
    </row>
    <row r="25" spans="1:26" ht="14.5">
      <c r="A25" s="7">
        <v>24</v>
      </c>
      <c r="B25" s="7" t="s">
        <v>103</v>
      </c>
      <c r="C25" s="7" t="s">
        <v>26</v>
      </c>
      <c r="D25" s="7">
        <v>24</v>
      </c>
      <c r="E25" s="7" t="s">
        <v>104</v>
      </c>
      <c r="F25" s="7" t="s">
        <v>105</v>
      </c>
      <c r="G25" s="7">
        <v>2023</v>
      </c>
      <c r="H25" s="7" t="s">
        <v>106</v>
      </c>
      <c r="I25" s="8">
        <v>46234</v>
      </c>
      <c r="J25" s="7" t="s">
        <v>107</v>
      </c>
      <c r="K25" s="9">
        <v>45000000</v>
      </c>
      <c r="L25" s="7">
        <v>150</v>
      </c>
      <c r="M25" s="10">
        <v>35</v>
      </c>
      <c r="N25" s="7">
        <v>4</v>
      </c>
      <c r="O25" s="7" t="s">
        <v>31</v>
      </c>
      <c r="P25" s="7"/>
      <c r="Q25" s="7">
        <f t="shared" ca="1" si="0"/>
        <v>1</v>
      </c>
      <c r="R25" s="7">
        <f t="shared" si="1"/>
        <v>5</v>
      </c>
      <c r="S25" s="7">
        <f t="shared" si="2"/>
        <v>3</v>
      </c>
      <c r="T25" s="7">
        <f t="shared" si="3"/>
        <v>3</v>
      </c>
      <c r="U25" s="7">
        <f t="shared" si="4"/>
        <v>5</v>
      </c>
      <c r="V25" s="7">
        <f t="shared" si="5"/>
        <v>2</v>
      </c>
      <c r="W25" s="7">
        <f t="shared" ca="1" si="6"/>
        <v>1</v>
      </c>
      <c r="X25" s="7">
        <f t="shared" si="7"/>
        <v>4</v>
      </c>
      <c r="Y25" s="7" t="s">
        <v>32</v>
      </c>
      <c r="Z25" s="1"/>
    </row>
    <row r="26" spans="1:26" ht="14.5">
      <c r="A26" s="7">
        <v>25</v>
      </c>
      <c r="B26" s="7" t="s">
        <v>108</v>
      </c>
      <c r="C26" s="7" t="s">
        <v>109</v>
      </c>
      <c r="D26" s="7">
        <v>1</v>
      </c>
      <c r="E26" s="7" t="s">
        <v>27</v>
      </c>
      <c r="F26" s="7" t="s">
        <v>28</v>
      </c>
      <c r="G26" s="7">
        <v>2023</v>
      </c>
      <c r="H26" s="7" t="s">
        <v>110</v>
      </c>
      <c r="I26" s="8">
        <v>46481</v>
      </c>
      <c r="J26" s="7" t="s">
        <v>83</v>
      </c>
      <c r="K26" s="9">
        <v>28500000</v>
      </c>
      <c r="L26" s="7">
        <v>160</v>
      </c>
      <c r="M26" s="10">
        <v>43</v>
      </c>
      <c r="N26" s="7">
        <v>4</v>
      </c>
      <c r="O26" s="7" t="s">
        <v>31</v>
      </c>
      <c r="P26" s="7"/>
      <c r="Q26" s="7">
        <f t="shared" ca="1" si="0"/>
        <v>10</v>
      </c>
      <c r="R26" s="7">
        <f t="shared" si="1"/>
        <v>5</v>
      </c>
      <c r="S26" s="7">
        <f t="shared" si="2"/>
        <v>4</v>
      </c>
      <c r="T26" s="7">
        <f t="shared" si="3"/>
        <v>5</v>
      </c>
      <c r="U26" s="7">
        <f t="shared" si="4"/>
        <v>5</v>
      </c>
      <c r="V26" s="7">
        <f t="shared" si="5"/>
        <v>3</v>
      </c>
      <c r="W26" s="7">
        <f t="shared" ca="1" si="6"/>
        <v>4</v>
      </c>
      <c r="X26" s="7">
        <f t="shared" si="7"/>
        <v>4</v>
      </c>
      <c r="Y26" s="7" t="s">
        <v>32</v>
      </c>
      <c r="Z26" s="1"/>
    </row>
    <row r="27" spans="1:26" ht="14.5">
      <c r="A27" s="7">
        <v>26</v>
      </c>
      <c r="B27" s="7" t="s">
        <v>111</v>
      </c>
      <c r="C27" s="7" t="s">
        <v>109</v>
      </c>
      <c r="D27" s="7">
        <v>2</v>
      </c>
      <c r="E27" s="7" t="s">
        <v>112</v>
      </c>
      <c r="F27" s="7" t="s">
        <v>28</v>
      </c>
      <c r="G27" s="7">
        <v>2024</v>
      </c>
      <c r="H27" s="7" t="s">
        <v>113</v>
      </c>
      <c r="I27" s="8">
        <v>46292</v>
      </c>
      <c r="J27" s="7" t="s">
        <v>30</v>
      </c>
      <c r="K27" s="9">
        <v>30000000</v>
      </c>
      <c r="L27" s="7">
        <v>160</v>
      </c>
      <c r="M27" s="10">
        <v>43</v>
      </c>
      <c r="N27" s="7">
        <v>4</v>
      </c>
      <c r="O27" s="7" t="s">
        <v>31</v>
      </c>
      <c r="P27" s="7"/>
      <c r="Q27" s="7">
        <f t="shared" ca="1" si="0"/>
        <v>3</v>
      </c>
      <c r="R27" s="7">
        <f t="shared" si="1"/>
        <v>5</v>
      </c>
      <c r="S27" s="7">
        <f t="shared" si="2"/>
        <v>4</v>
      </c>
      <c r="T27" s="7">
        <f t="shared" si="3"/>
        <v>5</v>
      </c>
      <c r="U27" s="7">
        <f t="shared" si="4"/>
        <v>5</v>
      </c>
      <c r="V27" s="7">
        <f t="shared" si="5"/>
        <v>3</v>
      </c>
      <c r="W27" s="7">
        <f t="shared" ca="1" si="6"/>
        <v>2</v>
      </c>
      <c r="X27" s="7">
        <f t="shared" si="7"/>
        <v>4</v>
      </c>
      <c r="Y27" s="7" t="s">
        <v>32</v>
      </c>
      <c r="Z27" s="1"/>
    </row>
    <row r="28" spans="1:26" ht="14.5">
      <c r="A28" s="7">
        <v>27</v>
      </c>
      <c r="B28" s="7" t="s">
        <v>114</v>
      </c>
      <c r="C28" s="7" t="s">
        <v>109</v>
      </c>
      <c r="D28" s="7">
        <v>3</v>
      </c>
      <c r="E28" s="7" t="s">
        <v>49</v>
      </c>
      <c r="F28" s="7" t="s">
        <v>28</v>
      </c>
      <c r="G28" s="7">
        <v>2023</v>
      </c>
      <c r="H28" s="7" t="s">
        <v>115</v>
      </c>
      <c r="I28" s="8">
        <v>46464</v>
      </c>
      <c r="J28" s="7" t="s">
        <v>30</v>
      </c>
      <c r="K28" s="9">
        <v>15000000</v>
      </c>
      <c r="L28" s="7">
        <v>110</v>
      </c>
      <c r="M28" s="10">
        <v>55</v>
      </c>
      <c r="N28" s="7">
        <v>4</v>
      </c>
      <c r="O28" s="7" t="s">
        <v>31</v>
      </c>
      <c r="P28" s="7"/>
      <c r="Q28" s="7">
        <f t="shared" ca="1" si="0"/>
        <v>9</v>
      </c>
      <c r="R28" s="7">
        <f t="shared" si="1"/>
        <v>3</v>
      </c>
      <c r="S28" s="7">
        <f t="shared" si="2"/>
        <v>2</v>
      </c>
      <c r="T28" s="7">
        <f t="shared" si="3"/>
        <v>5</v>
      </c>
      <c r="U28" s="7">
        <f t="shared" si="4"/>
        <v>5</v>
      </c>
      <c r="V28" s="7">
        <f t="shared" si="5"/>
        <v>4</v>
      </c>
      <c r="W28" s="7">
        <f t="shared" ca="1" si="6"/>
        <v>3</v>
      </c>
      <c r="X28" s="7">
        <f t="shared" si="7"/>
        <v>4</v>
      </c>
      <c r="Y28" s="7" t="s">
        <v>32</v>
      </c>
      <c r="Z28" s="1"/>
    </row>
    <row r="29" spans="1:26" ht="14.5">
      <c r="A29" s="7">
        <v>28</v>
      </c>
      <c r="B29" s="7" t="s">
        <v>116</v>
      </c>
      <c r="C29" s="7" t="s">
        <v>109</v>
      </c>
      <c r="D29" s="7">
        <v>4</v>
      </c>
      <c r="E29" s="7" t="s">
        <v>117</v>
      </c>
      <c r="F29" s="7" t="s">
        <v>28</v>
      </c>
      <c r="G29" s="7">
        <v>2025</v>
      </c>
      <c r="H29" s="7" t="s">
        <v>118</v>
      </c>
      <c r="I29" s="8">
        <v>46077</v>
      </c>
      <c r="J29" s="7" t="s">
        <v>119</v>
      </c>
      <c r="K29" s="9">
        <v>17500000</v>
      </c>
      <c r="L29" s="7">
        <v>110</v>
      </c>
      <c r="M29" s="10">
        <v>55</v>
      </c>
      <c r="N29" s="7">
        <v>5</v>
      </c>
      <c r="O29" s="7" t="s">
        <v>31</v>
      </c>
      <c r="P29" s="7"/>
      <c r="Q29" s="7">
        <f t="shared" ca="1" si="0"/>
        <v>0</v>
      </c>
      <c r="R29" s="7">
        <f t="shared" si="1"/>
        <v>4</v>
      </c>
      <c r="S29" s="7">
        <f t="shared" si="2"/>
        <v>2</v>
      </c>
      <c r="T29" s="7">
        <f t="shared" si="3"/>
        <v>5</v>
      </c>
      <c r="U29" s="7">
        <f t="shared" si="4"/>
        <v>5</v>
      </c>
      <c r="V29" s="7">
        <f t="shared" si="5"/>
        <v>4</v>
      </c>
      <c r="W29" s="7">
        <f t="shared" ca="1" si="6"/>
        <v>1</v>
      </c>
      <c r="X29" s="7">
        <f t="shared" si="7"/>
        <v>5</v>
      </c>
      <c r="Y29" s="7" t="s">
        <v>32</v>
      </c>
      <c r="Z29" s="1"/>
    </row>
    <row r="30" spans="1:26" ht="14.5">
      <c r="A30" s="7">
        <v>29</v>
      </c>
      <c r="B30" s="7" t="s">
        <v>120</v>
      </c>
      <c r="C30" s="7" t="s">
        <v>109</v>
      </c>
      <c r="D30" s="7">
        <v>5</v>
      </c>
      <c r="E30" s="7" t="s">
        <v>49</v>
      </c>
      <c r="F30" s="7" t="s">
        <v>28</v>
      </c>
      <c r="G30" s="7">
        <v>2025</v>
      </c>
      <c r="H30" s="7" t="s">
        <v>121</v>
      </c>
      <c r="I30" s="8">
        <v>46275</v>
      </c>
      <c r="J30" s="7" t="s">
        <v>30</v>
      </c>
      <c r="K30" s="9">
        <v>16600000</v>
      </c>
      <c r="L30" s="7">
        <v>110</v>
      </c>
      <c r="M30" s="10">
        <v>55</v>
      </c>
      <c r="N30" s="7">
        <v>5</v>
      </c>
      <c r="O30" s="7" t="s">
        <v>31</v>
      </c>
      <c r="P30" s="7"/>
      <c r="Q30" s="7">
        <f t="shared" ca="1" si="0"/>
        <v>3</v>
      </c>
      <c r="R30" s="7">
        <f t="shared" si="1"/>
        <v>4</v>
      </c>
      <c r="S30" s="7">
        <f t="shared" si="2"/>
        <v>2</v>
      </c>
      <c r="T30" s="7">
        <f t="shared" si="3"/>
        <v>5</v>
      </c>
      <c r="U30" s="7">
        <f t="shared" si="4"/>
        <v>5</v>
      </c>
      <c r="V30" s="7">
        <f t="shared" si="5"/>
        <v>4</v>
      </c>
      <c r="W30" s="7">
        <f t="shared" ca="1" si="6"/>
        <v>2</v>
      </c>
      <c r="X30" s="7">
        <f t="shared" si="7"/>
        <v>5</v>
      </c>
      <c r="Y30" s="7" t="s">
        <v>32</v>
      </c>
      <c r="Z30" s="1"/>
    </row>
    <row r="31" spans="1:26" ht="14.5">
      <c r="A31" s="7">
        <v>30</v>
      </c>
      <c r="B31" s="7" t="s">
        <v>122</v>
      </c>
      <c r="C31" s="7" t="s">
        <v>109</v>
      </c>
      <c r="D31" s="7">
        <v>6</v>
      </c>
      <c r="E31" s="7" t="s">
        <v>123</v>
      </c>
      <c r="F31" s="7" t="s">
        <v>28</v>
      </c>
      <c r="G31" s="7">
        <v>2021</v>
      </c>
      <c r="H31" s="7" t="s">
        <v>124</v>
      </c>
      <c r="I31" s="8">
        <v>46139</v>
      </c>
      <c r="J31" s="7" t="s">
        <v>79</v>
      </c>
      <c r="K31" s="9">
        <v>27000000</v>
      </c>
      <c r="L31" s="7">
        <v>150</v>
      </c>
      <c r="M31" s="10">
        <v>35</v>
      </c>
      <c r="N31" s="7">
        <v>3</v>
      </c>
      <c r="O31" s="7" t="s">
        <v>31</v>
      </c>
      <c r="P31" s="7"/>
      <c r="Q31" s="7">
        <f t="shared" ca="1" si="0"/>
        <v>0</v>
      </c>
      <c r="R31" s="7">
        <f t="shared" si="1"/>
        <v>5</v>
      </c>
      <c r="S31" s="7">
        <f t="shared" si="2"/>
        <v>3</v>
      </c>
      <c r="T31" s="7">
        <f t="shared" si="3"/>
        <v>5</v>
      </c>
      <c r="U31" s="7">
        <f t="shared" si="4"/>
        <v>4</v>
      </c>
      <c r="V31" s="7">
        <f t="shared" si="5"/>
        <v>2</v>
      </c>
      <c r="W31" s="7">
        <f t="shared" ca="1" si="6"/>
        <v>1</v>
      </c>
      <c r="X31" s="7">
        <f t="shared" si="7"/>
        <v>3</v>
      </c>
      <c r="Y31" s="7" t="s">
        <v>32</v>
      </c>
      <c r="Z31" s="1"/>
    </row>
    <row r="32" spans="1:26" ht="14.5">
      <c r="A32" s="7">
        <v>31</v>
      </c>
      <c r="B32" s="7" t="s">
        <v>125</v>
      </c>
      <c r="C32" s="7" t="s">
        <v>109</v>
      </c>
      <c r="D32" s="7">
        <v>7</v>
      </c>
      <c r="E32" s="7" t="s">
        <v>75</v>
      </c>
      <c r="F32" s="7" t="s">
        <v>35</v>
      </c>
      <c r="G32" s="7">
        <v>2025</v>
      </c>
      <c r="H32" s="7" t="s">
        <v>126</v>
      </c>
      <c r="I32" s="8">
        <v>46071</v>
      </c>
      <c r="J32" s="7" t="s">
        <v>79</v>
      </c>
      <c r="K32" s="9">
        <v>23700000</v>
      </c>
      <c r="L32" s="7">
        <v>150</v>
      </c>
      <c r="M32" s="10">
        <v>40</v>
      </c>
      <c r="N32" s="7">
        <v>5</v>
      </c>
      <c r="O32" s="7" t="s">
        <v>31</v>
      </c>
      <c r="P32" s="7"/>
      <c r="Q32" s="7">
        <f t="shared" ca="1" si="0"/>
        <v>0</v>
      </c>
      <c r="R32" s="7">
        <f t="shared" si="1"/>
        <v>5</v>
      </c>
      <c r="S32" s="7">
        <f t="shared" si="2"/>
        <v>3</v>
      </c>
      <c r="T32" s="7">
        <f t="shared" si="3"/>
        <v>4</v>
      </c>
      <c r="U32" s="7">
        <f t="shared" si="4"/>
        <v>5</v>
      </c>
      <c r="V32" s="7">
        <f t="shared" si="5"/>
        <v>2</v>
      </c>
      <c r="W32" s="7">
        <f t="shared" ca="1" si="6"/>
        <v>1</v>
      </c>
      <c r="X32" s="7">
        <f t="shared" si="7"/>
        <v>5</v>
      </c>
      <c r="Y32" s="7" t="s">
        <v>32</v>
      </c>
      <c r="Z32" s="1"/>
    </row>
    <row r="33" spans="1:26" ht="14.5">
      <c r="A33" s="7">
        <v>32</v>
      </c>
      <c r="B33" s="7" t="s">
        <v>127</v>
      </c>
      <c r="C33" s="7" t="s">
        <v>109</v>
      </c>
      <c r="D33" s="7">
        <v>8</v>
      </c>
      <c r="E33" s="7" t="s">
        <v>128</v>
      </c>
      <c r="F33" s="7" t="s">
        <v>129</v>
      </c>
      <c r="G33" s="7">
        <v>2016</v>
      </c>
      <c r="H33" s="7" t="s">
        <v>130</v>
      </c>
      <c r="I33" s="8">
        <v>46278</v>
      </c>
      <c r="J33" s="7" t="s">
        <v>87</v>
      </c>
      <c r="K33" s="9">
        <v>35000000</v>
      </c>
      <c r="L33" s="7">
        <v>250</v>
      </c>
      <c r="M33" s="10">
        <v>30</v>
      </c>
      <c r="N33" s="7">
        <v>2</v>
      </c>
      <c r="O33" s="7" t="s">
        <v>31</v>
      </c>
      <c r="P33" s="7"/>
      <c r="Q33" s="7">
        <f t="shared" ca="1" si="0"/>
        <v>3</v>
      </c>
      <c r="R33" s="7">
        <f t="shared" si="1"/>
        <v>5</v>
      </c>
      <c r="S33" s="7">
        <f t="shared" si="2"/>
        <v>5</v>
      </c>
      <c r="T33" s="7">
        <f t="shared" si="3"/>
        <v>3</v>
      </c>
      <c r="U33" s="7">
        <f t="shared" si="4"/>
        <v>2</v>
      </c>
      <c r="V33" s="7">
        <f t="shared" si="5"/>
        <v>2</v>
      </c>
      <c r="W33" s="7">
        <f t="shared" ca="1" si="6"/>
        <v>2</v>
      </c>
      <c r="X33" s="7">
        <f t="shared" si="7"/>
        <v>2</v>
      </c>
      <c r="Y33" s="7" t="s">
        <v>32</v>
      </c>
      <c r="Z33" s="1"/>
    </row>
    <row r="34" spans="1:26" ht="14.5">
      <c r="A34" s="7">
        <v>33</v>
      </c>
      <c r="B34" s="7" t="s">
        <v>131</v>
      </c>
      <c r="C34" s="7" t="s">
        <v>109</v>
      </c>
      <c r="D34" s="7">
        <v>9</v>
      </c>
      <c r="E34" s="7" t="s">
        <v>85</v>
      </c>
      <c r="F34" s="7" t="s">
        <v>28</v>
      </c>
      <c r="G34" s="7">
        <v>2025</v>
      </c>
      <c r="H34" s="7" t="s">
        <v>132</v>
      </c>
      <c r="I34" s="8">
        <v>46534</v>
      </c>
      <c r="J34" s="7" t="s">
        <v>83</v>
      </c>
      <c r="K34" s="9">
        <v>29000000</v>
      </c>
      <c r="L34" s="7">
        <v>160</v>
      </c>
      <c r="M34" s="10">
        <v>43</v>
      </c>
      <c r="N34" s="7">
        <v>5</v>
      </c>
      <c r="O34" s="7" t="s">
        <v>31</v>
      </c>
      <c r="P34" s="7"/>
      <c r="Q34" s="7">
        <f t="shared" ref="Q34:Q53" ca="1" si="8">MAX(0,ROUNDUP((I34-TODAY())/30,0))</f>
        <v>11</v>
      </c>
      <c r="R34" s="7">
        <f t="shared" ref="R34:R53" si="9">IF(K34&lt;5000000,1,IF(K34&lt;=10000000,2,IF(K34&lt;=15000000,3,IF(K34&lt;=20000000,4,5))))</f>
        <v>5</v>
      </c>
      <c r="S34" s="7">
        <f t="shared" ref="S34:S53" si="10">IF(L34&lt;110,1,IF(L34&lt;=125,2,IF(L34&lt;=150,3,IF(L34&lt;=160,4,5))))</f>
        <v>4</v>
      </c>
      <c r="T34" s="7">
        <f t="shared" ref="T34:T53" si="11">IF(F34="Honda",5,IF(F34="Yamaha",4,IF(OR(F34="Suzuki",F34="Kawasaki",F34="Vespa"),3,IF(F34="Keeway",2,1))))</f>
        <v>5</v>
      </c>
      <c r="U34" s="7">
        <f t="shared" ref="U34:U53" si="12">IF(G34&lt;2015,1,IF(G34&lt;=2017,2,IF(G34&lt;=2020,3,IF(G34&lt;=2022,4,5))))</f>
        <v>5</v>
      </c>
      <c r="V34" s="7">
        <f t="shared" ref="V34:V53" si="13">IF(M34&lt;30,1,IF(M34&lt;=40,2,IF(M34&lt;=50,3,IF(M34&lt;=60,4,5))))</f>
        <v>3</v>
      </c>
      <c r="W34" s="7">
        <f t="shared" ref="W34:W53" ca="1" si="14">IF(Q34&lt;3,1,IF(Q34&lt;=6,2,IF(Q34&lt;=9,3,IF(Q34&lt;=12,4,5))))</f>
        <v>4</v>
      </c>
      <c r="X34" s="7">
        <f t="shared" ref="X34:X53" si="15">N34</f>
        <v>5</v>
      </c>
      <c r="Y34" s="7" t="s">
        <v>32</v>
      </c>
      <c r="Z34" s="1"/>
    </row>
    <row r="35" spans="1:26" ht="14.5">
      <c r="A35" s="7">
        <v>34</v>
      </c>
      <c r="B35" s="7" t="s">
        <v>133</v>
      </c>
      <c r="C35" s="7" t="s">
        <v>109</v>
      </c>
      <c r="D35" s="7">
        <v>10</v>
      </c>
      <c r="E35" s="7" t="s">
        <v>134</v>
      </c>
      <c r="F35" s="7" t="s">
        <v>28</v>
      </c>
      <c r="G35" s="7">
        <v>2023</v>
      </c>
      <c r="H35" s="7" t="s">
        <v>135</v>
      </c>
      <c r="I35" s="8">
        <v>46266</v>
      </c>
      <c r="J35" s="7" t="s">
        <v>55</v>
      </c>
      <c r="K35" s="9">
        <v>16000000</v>
      </c>
      <c r="L35" s="7">
        <v>110</v>
      </c>
      <c r="M35" s="10">
        <v>55</v>
      </c>
      <c r="N35" s="7">
        <v>4</v>
      </c>
      <c r="O35" s="7" t="s">
        <v>31</v>
      </c>
      <c r="P35" s="7"/>
      <c r="Q35" s="7">
        <f t="shared" ca="1" si="8"/>
        <v>2</v>
      </c>
      <c r="R35" s="7">
        <f t="shared" si="9"/>
        <v>4</v>
      </c>
      <c r="S35" s="7">
        <f t="shared" si="10"/>
        <v>2</v>
      </c>
      <c r="T35" s="7">
        <f t="shared" si="11"/>
        <v>5</v>
      </c>
      <c r="U35" s="7">
        <f t="shared" si="12"/>
        <v>5</v>
      </c>
      <c r="V35" s="7">
        <f t="shared" si="13"/>
        <v>4</v>
      </c>
      <c r="W35" s="7">
        <f t="shared" ca="1" si="14"/>
        <v>1</v>
      </c>
      <c r="X35" s="7">
        <f t="shared" si="15"/>
        <v>4</v>
      </c>
      <c r="Y35" s="7" t="s">
        <v>32</v>
      </c>
      <c r="Z35" s="1"/>
    </row>
    <row r="36" spans="1:26" ht="14.5">
      <c r="A36" s="7">
        <v>35</v>
      </c>
      <c r="B36" s="7" t="s">
        <v>136</v>
      </c>
      <c r="C36" s="7" t="s">
        <v>109</v>
      </c>
      <c r="D36" s="7">
        <v>11</v>
      </c>
      <c r="E36" s="7" t="s">
        <v>137</v>
      </c>
      <c r="F36" s="7" t="s">
        <v>105</v>
      </c>
      <c r="G36" s="7">
        <v>2022</v>
      </c>
      <c r="H36" s="7" t="s">
        <v>138</v>
      </c>
      <c r="I36" s="8">
        <v>45295</v>
      </c>
      <c r="J36" s="7" t="s">
        <v>139</v>
      </c>
      <c r="K36" s="9">
        <v>43000000</v>
      </c>
      <c r="L36" s="7">
        <v>150</v>
      </c>
      <c r="M36" s="10">
        <v>35</v>
      </c>
      <c r="N36" s="7">
        <v>3</v>
      </c>
      <c r="O36" s="7" t="s">
        <v>31</v>
      </c>
      <c r="P36" s="7"/>
      <c r="Q36" s="7">
        <f t="shared" ca="1" si="8"/>
        <v>0</v>
      </c>
      <c r="R36" s="7">
        <f t="shared" si="9"/>
        <v>5</v>
      </c>
      <c r="S36" s="7">
        <f t="shared" si="10"/>
        <v>3</v>
      </c>
      <c r="T36" s="7">
        <f t="shared" si="11"/>
        <v>3</v>
      </c>
      <c r="U36" s="7">
        <f t="shared" si="12"/>
        <v>4</v>
      </c>
      <c r="V36" s="7">
        <f t="shared" si="13"/>
        <v>2</v>
      </c>
      <c r="W36" s="7">
        <f t="shared" ca="1" si="14"/>
        <v>1</v>
      </c>
      <c r="X36" s="7">
        <f t="shared" si="15"/>
        <v>3</v>
      </c>
      <c r="Y36" s="7" t="s">
        <v>32</v>
      </c>
      <c r="Z36" s="1"/>
    </row>
    <row r="37" spans="1:26" ht="14.5">
      <c r="A37" s="7">
        <v>36</v>
      </c>
      <c r="B37" s="7" t="s">
        <v>140</v>
      </c>
      <c r="C37" s="7" t="s">
        <v>141</v>
      </c>
      <c r="D37" s="7">
        <v>1</v>
      </c>
      <c r="E37" s="7" t="s">
        <v>142</v>
      </c>
      <c r="F37" s="7" t="s">
        <v>35</v>
      </c>
      <c r="G37" s="7">
        <v>2021</v>
      </c>
      <c r="H37" s="7" t="s">
        <v>143</v>
      </c>
      <c r="I37" s="8">
        <v>46224</v>
      </c>
      <c r="J37" s="7" t="s">
        <v>144</v>
      </c>
      <c r="K37" s="9">
        <v>21000000</v>
      </c>
      <c r="L37" s="7">
        <v>155</v>
      </c>
      <c r="M37" s="10">
        <v>40</v>
      </c>
      <c r="N37" s="7">
        <v>3</v>
      </c>
      <c r="O37" s="7" t="s">
        <v>31</v>
      </c>
      <c r="P37" s="7"/>
      <c r="Q37" s="7">
        <f t="shared" ca="1" si="8"/>
        <v>1</v>
      </c>
      <c r="R37" s="7">
        <f t="shared" si="9"/>
        <v>5</v>
      </c>
      <c r="S37" s="7">
        <f t="shared" si="10"/>
        <v>4</v>
      </c>
      <c r="T37" s="7">
        <f t="shared" si="11"/>
        <v>4</v>
      </c>
      <c r="U37" s="7">
        <f t="shared" si="12"/>
        <v>4</v>
      </c>
      <c r="V37" s="7">
        <f t="shared" si="13"/>
        <v>2</v>
      </c>
      <c r="W37" s="7">
        <f t="shared" ca="1" si="14"/>
        <v>1</v>
      </c>
      <c r="X37" s="7">
        <f t="shared" si="15"/>
        <v>3</v>
      </c>
      <c r="Y37" s="7" t="s">
        <v>32</v>
      </c>
      <c r="Z37" s="1"/>
    </row>
    <row r="38" spans="1:26" ht="14.5">
      <c r="A38" s="7">
        <v>37</v>
      </c>
      <c r="B38" s="7" t="s">
        <v>145</v>
      </c>
      <c r="C38" s="7" t="s">
        <v>141</v>
      </c>
      <c r="D38" s="7">
        <v>2</v>
      </c>
      <c r="E38" s="7" t="s">
        <v>146</v>
      </c>
      <c r="F38" s="7" t="s">
        <v>147</v>
      </c>
      <c r="G38" s="7">
        <v>2022</v>
      </c>
      <c r="H38" s="7" t="s">
        <v>148</v>
      </c>
      <c r="I38" s="8">
        <v>45996</v>
      </c>
      <c r="J38" s="7" t="s">
        <v>149</v>
      </c>
      <c r="K38" s="9">
        <v>18000000</v>
      </c>
      <c r="L38" s="7">
        <v>150</v>
      </c>
      <c r="M38" s="10">
        <v>35</v>
      </c>
      <c r="N38" s="7">
        <v>3</v>
      </c>
      <c r="O38" s="7" t="s">
        <v>31</v>
      </c>
      <c r="P38" s="7"/>
      <c r="Q38" s="7">
        <f t="shared" ca="1" si="8"/>
        <v>0</v>
      </c>
      <c r="R38" s="7">
        <f t="shared" si="9"/>
        <v>4</v>
      </c>
      <c r="S38" s="7">
        <f t="shared" si="10"/>
        <v>3</v>
      </c>
      <c r="T38" s="7">
        <f t="shared" si="11"/>
        <v>2</v>
      </c>
      <c r="U38" s="7">
        <f t="shared" si="12"/>
        <v>4</v>
      </c>
      <c r="V38" s="7">
        <f t="shared" si="13"/>
        <v>2</v>
      </c>
      <c r="W38" s="7">
        <f t="shared" ca="1" si="14"/>
        <v>1</v>
      </c>
      <c r="X38" s="7">
        <f t="shared" si="15"/>
        <v>3</v>
      </c>
      <c r="Y38" s="7" t="s">
        <v>32</v>
      </c>
      <c r="Z38" s="1"/>
    </row>
    <row r="39" spans="1:26" ht="14.5">
      <c r="A39" s="7">
        <v>38</v>
      </c>
      <c r="B39" s="7" t="s">
        <v>150</v>
      </c>
      <c r="C39" s="7" t="s">
        <v>141</v>
      </c>
      <c r="D39" s="7">
        <v>3</v>
      </c>
      <c r="E39" s="7" t="s">
        <v>151</v>
      </c>
      <c r="F39" s="7" t="s">
        <v>35</v>
      </c>
      <c r="G39" s="7">
        <v>2023</v>
      </c>
      <c r="H39" s="7" t="s">
        <v>152</v>
      </c>
      <c r="I39" s="8">
        <v>46518</v>
      </c>
      <c r="J39" s="7" t="s">
        <v>47</v>
      </c>
      <c r="K39" s="9">
        <v>43000000</v>
      </c>
      <c r="L39" s="7">
        <v>250</v>
      </c>
      <c r="M39" s="10">
        <v>30</v>
      </c>
      <c r="N39" s="7">
        <v>4</v>
      </c>
      <c r="O39" s="7" t="s">
        <v>31</v>
      </c>
      <c r="P39" s="7"/>
      <c r="Q39" s="7">
        <f t="shared" ca="1" si="8"/>
        <v>11</v>
      </c>
      <c r="R39" s="7">
        <f t="shared" si="9"/>
        <v>5</v>
      </c>
      <c r="S39" s="7">
        <f t="shared" si="10"/>
        <v>5</v>
      </c>
      <c r="T39" s="7">
        <f t="shared" si="11"/>
        <v>4</v>
      </c>
      <c r="U39" s="7">
        <f t="shared" si="12"/>
        <v>5</v>
      </c>
      <c r="V39" s="7">
        <f t="shared" si="13"/>
        <v>2</v>
      </c>
      <c r="W39" s="7">
        <f t="shared" ca="1" si="14"/>
        <v>4</v>
      </c>
      <c r="X39" s="7">
        <f t="shared" si="15"/>
        <v>4</v>
      </c>
      <c r="Y39" s="7" t="s">
        <v>32</v>
      </c>
      <c r="Z39" s="1"/>
    </row>
    <row r="40" spans="1:26" ht="14.5">
      <c r="A40" s="7">
        <v>39</v>
      </c>
      <c r="B40" s="7" t="s">
        <v>153</v>
      </c>
      <c r="C40" s="7" t="s">
        <v>141</v>
      </c>
      <c r="D40" s="7">
        <v>4</v>
      </c>
      <c r="E40" s="7" t="s">
        <v>154</v>
      </c>
      <c r="F40" s="7" t="s">
        <v>95</v>
      </c>
      <c r="G40" s="7">
        <v>2017</v>
      </c>
      <c r="H40" s="7" t="s">
        <v>155</v>
      </c>
      <c r="I40" s="8">
        <v>46237</v>
      </c>
      <c r="J40" s="7" t="s">
        <v>30</v>
      </c>
      <c r="K40" s="9">
        <v>12000000</v>
      </c>
      <c r="L40" s="7">
        <v>150</v>
      </c>
      <c r="M40" s="10">
        <v>35</v>
      </c>
      <c r="N40" s="7">
        <v>2</v>
      </c>
      <c r="O40" s="7" t="s">
        <v>31</v>
      </c>
      <c r="P40" s="7"/>
      <c r="Q40" s="7">
        <f t="shared" ca="1" si="8"/>
        <v>1</v>
      </c>
      <c r="R40" s="7">
        <f t="shared" si="9"/>
        <v>3</v>
      </c>
      <c r="S40" s="7">
        <f t="shared" si="10"/>
        <v>3</v>
      </c>
      <c r="T40" s="7">
        <f t="shared" si="11"/>
        <v>3</v>
      </c>
      <c r="U40" s="7">
        <f t="shared" si="12"/>
        <v>2</v>
      </c>
      <c r="V40" s="7">
        <f t="shared" si="13"/>
        <v>2</v>
      </c>
      <c r="W40" s="7">
        <f t="shared" ca="1" si="14"/>
        <v>1</v>
      </c>
      <c r="X40" s="7">
        <f t="shared" si="15"/>
        <v>2</v>
      </c>
      <c r="Y40" s="7" t="s">
        <v>32</v>
      </c>
      <c r="Z40" s="1"/>
    </row>
    <row r="41" spans="1:26" ht="14.5">
      <c r="A41" s="7">
        <v>40</v>
      </c>
      <c r="B41" s="7" t="s">
        <v>156</v>
      </c>
      <c r="C41" s="7" t="s">
        <v>141</v>
      </c>
      <c r="D41" s="7">
        <v>5</v>
      </c>
      <c r="E41" s="7" t="s">
        <v>157</v>
      </c>
      <c r="F41" s="7" t="s">
        <v>28</v>
      </c>
      <c r="G41" s="7">
        <v>2024</v>
      </c>
      <c r="H41" s="7" t="s">
        <v>158</v>
      </c>
      <c r="I41" s="8">
        <v>46455</v>
      </c>
      <c r="J41" s="7" t="s">
        <v>159</v>
      </c>
      <c r="K41" s="9">
        <v>17000000</v>
      </c>
      <c r="L41" s="7">
        <v>110</v>
      </c>
      <c r="M41" s="10">
        <v>55</v>
      </c>
      <c r="N41" s="7">
        <v>4</v>
      </c>
      <c r="O41" s="7" t="s">
        <v>31</v>
      </c>
      <c r="P41" s="7"/>
      <c r="Q41" s="7">
        <f t="shared" ca="1" si="8"/>
        <v>9</v>
      </c>
      <c r="R41" s="7">
        <f t="shared" si="9"/>
        <v>4</v>
      </c>
      <c r="S41" s="7">
        <f t="shared" si="10"/>
        <v>2</v>
      </c>
      <c r="T41" s="7">
        <f t="shared" si="11"/>
        <v>5</v>
      </c>
      <c r="U41" s="7">
        <f t="shared" si="12"/>
        <v>5</v>
      </c>
      <c r="V41" s="7">
        <f t="shared" si="13"/>
        <v>4</v>
      </c>
      <c r="W41" s="7">
        <f t="shared" ca="1" si="14"/>
        <v>3</v>
      </c>
      <c r="X41" s="7">
        <f t="shared" si="15"/>
        <v>4</v>
      </c>
      <c r="Y41" s="7" t="s">
        <v>32</v>
      </c>
      <c r="Z41" s="1"/>
    </row>
    <row r="42" spans="1:26" ht="14.5">
      <c r="A42" s="7">
        <v>41</v>
      </c>
      <c r="B42" s="7" t="s">
        <v>160</v>
      </c>
      <c r="C42" s="7" t="s">
        <v>141</v>
      </c>
      <c r="D42" s="7">
        <v>6</v>
      </c>
      <c r="E42" s="7" t="s">
        <v>161</v>
      </c>
      <c r="F42" s="7" t="s">
        <v>28</v>
      </c>
      <c r="G42" s="7">
        <v>2021</v>
      </c>
      <c r="H42" s="7" t="s">
        <v>162</v>
      </c>
      <c r="I42" s="8">
        <v>46309</v>
      </c>
      <c r="J42" s="7" t="s">
        <v>87</v>
      </c>
      <c r="K42" s="9">
        <v>20000000</v>
      </c>
      <c r="L42" s="7">
        <v>150</v>
      </c>
      <c r="M42" s="10">
        <v>45</v>
      </c>
      <c r="N42" s="7">
        <v>3</v>
      </c>
      <c r="O42" s="7" t="s">
        <v>31</v>
      </c>
      <c r="P42" s="7"/>
      <c r="Q42" s="7">
        <f t="shared" ca="1" si="8"/>
        <v>4</v>
      </c>
      <c r="R42" s="7">
        <f t="shared" si="9"/>
        <v>4</v>
      </c>
      <c r="S42" s="7">
        <f t="shared" si="10"/>
        <v>3</v>
      </c>
      <c r="T42" s="7">
        <f t="shared" si="11"/>
        <v>5</v>
      </c>
      <c r="U42" s="7">
        <f t="shared" si="12"/>
        <v>4</v>
      </c>
      <c r="V42" s="7">
        <f t="shared" si="13"/>
        <v>3</v>
      </c>
      <c r="W42" s="7">
        <f t="shared" ca="1" si="14"/>
        <v>2</v>
      </c>
      <c r="X42" s="7">
        <f t="shared" si="15"/>
        <v>3</v>
      </c>
      <c r="Y42" s="7" t="s">
        <v>32</v>
      </c>
      <c r="Z42" s="1"/>
    </row>
    <row r="43" spans="1:26" ht="14.5">
      <c r="A43" s="7">
        <v>42</v>
      </c>
      <c r="B43" s="7" t="s">
        <v>163</v>
      </c>
      <c r="C43" s="7" t="s">
        <v>141</v>
      </c>
      <c r="D43" s="7">
        <v>7</v>
      </c>
      <c r="E43" s="7" t="s">
        <v>164</v>
      </c>
      <c r="F43" s="7" t="s">
        <v>28</v>
      </c>
      <c r="G43" s="7">
        <v>2024</v>
      </c>
      <c r="H43" s="7" t="s">
        <v>165</v>
      </c>
      <c r="I43" s="8">
        <v>46064</v>
      </c>
      <c r="J43" s="7" t="s">
        <v>30</v>
      </c>
      <c r="K43" s="9">
        <v>26000000</v>
      </c>
      <c r="L43" s="7">
        <v>160</v>
      </c>
      <c r="M43" s="10">
        <v>45</v>
      </c>
      <c r="N43" s="7">
        <v>4</v>
      </c>
      <c r="O43" s="7" t="s">
        <v>31</v>
      </c>
      <c r="P43" s="7"/>
      <c r="Q43" s="7">
        <f t="shared" ca="1" si="8"/>
        <v>0</v>
      </c>
      <c r="R43" s="7">
        <f t="shared" si="9"/>
        <v>5</v>
      </c>
      <c r="S43" s="7">
        <f t="shared" si="10"/>
        <v>4</v>
      </c>
      <c r="T43" s="7">
        <f t="shared" si="11"/>
        <v>5</v>
      </c>
      <c r="U43" s="7">
        <f t="shared" si="12"/>
        <v>5</v>
      </c>
      <c r="V43" s="7">
        <f t="shared" si="13"/>
        <v>3</v>
      </c>
      <c r="W43" s="7">
        <f t="shared" ca="1" si="14"/>
        <v>1</v>
      </c>
      <c r="X43" s="7">
        <f t="shared" si="15"/>
        <v>4</v>
      </c>
      <c r="Y43" s="7" t="s">
        <v>32</v>
      </c>
      <c r="Z43" s="1"/>
    </row>
    <row r="44" spans="1:26" ht="14.5">
      <c r="A44" s="7">
        <v>43</v>
      </c>
      <c r="B44" s="7" t="s">
        <v>166</v>
      </c>
      <c r="C44" s="7" t="s">
        <v>141</v>
      </c>
      <c r="D44" s="7">
        <v>8</v>
      </c>
      <c r="E44" s="7" t="s">
        <v>167</v>
      </c>
      <c r="F44" s="7" t="s">
        <v>35</v>
      </c>
      <c r="G44" s="7">
        <v>2021</v>
      </c>
      <c r="H44" s="7" t="s">
        <v>168</v>
      </c>
      <c r="I44" s="8">
        <v>46156</v>
      </c>
      <c r="J44" s="7" t="s">
        <v>70</v>
      </c>
      <c r="K44" s="9">
        <v>26000000</v>
      </c>
      <c r="L44" s="7">
        <v>155</v>
      </c>
      <c r="M44" s="10">
        <v>40</v>
      </c>
      <c r="N44" s="7">
        <v>3</v>
      </c>
      <c r="O44" s="7" t="s">
        <v>31</v>
      </c>
      <c r="P44" s="7"/>
      <c r="Q44" s="7">
        <f t="shared" ca="1" si="8"/>
        <v>0</v>
      </c>
      <c r="R44" s="7">
        <f t="shared" si="9"/>
        <v>5</v>
      </c>
      <c r="S44" s="7">
        <f t="shared" si="10"/>
        <v>4</v>
      </c>
      <c r="T44" s="7">
        <f t="shared" si="11"/>
        <v>4</v>
      </c>
      <c r="U44" s="7">
        <f t="shared" si="12"/>
        <v>4</v>
      </c>
      <c r="V44" s="7">
        <f t="shared" si="13"/>
        <v>2</v>
      </c>
      <c r="W44" s="7">
        <f t="shared" ca="1" si="14"/>
        <v>1</v>
      </c>
      <c r="X44" s="7">
        <f t="shared" si="15"/>
        <v>3</v>
      </c>
      <c r="Y44" s="7" t="s">
        <v>32</v>
      </c>
      <c r="Z44" s="1"/>
    </row>
    <row r="45" spans="1:26" ht="14.5">
      <c r="A45" s="7">
        <v>44</v>
      </c>
      <c r="B45" s="7" t="s">
        <v>169</v>
      </c>
      <c r="C45" s="7" t="s">
        <v>170</v>
      </c>
      <c r="D45" s="7">
        <v>1</v>
      </c>
      <c r="E45" s="7" t="s">
        <v>112</v>
      </c>
      <c r="F45" s="7" t="s">
        <v>28</v>
      </c>
      <c r="G45" s="7">
        <v>2024</v>
      </c>
      <c r="H45" s="7" t="s">
        <v>171</v>
      </c>
      <c r="I45" s="8">
        <v>46402</v>
      </c>
      <c r="J45" s="7" t="s">
        <v>87</v>
      </c>
      <c r="K45" s="9">
        <v>30000000</v>
      </c>
      <c r="L45" s="7">
        <v>160</v>
      </c>
      <c r="M45" s="10">
        <v>43</v>
      </c>
      <c r="N45" s="7">
        <v>4</v>
      </c>
      <c r="O45" s="7" t="s">
        <v>31</v>
      </c>
      <c r="P45" s="7"/>
      <c r="Q45" s="7">
        <f t="shared" ca="1" si="8"/>
        <v>7</v>
      </c>
      <c r="R45" s="7">
        <f t="shared" si="9"/>
        <v>5</v>
      </c>
      <c r="S45" s="7">
        <f t="shared" si="10"/>
        <v>4</v>
      </c>
      <c r="T45" s="7">
        <f t="shared" si="11"/>
        <v>5</v>
      </c>
      <c r="U45" s="7">
        <f t="shared" si="12"/>
        <v>5</v>
      </c>
      <c r="V45" s="7">
        <f t="shared" si="13"/>
        <v>3</v>
      </c>
      <c r="W45" s="7">
        <f t="shared" ca="1" si="14"/>
        <v>3</v>
      </c>
      <c r="X45" s="7">
        <f t="shared" si="15"/>
        <v>4</v>
      </c>
      <c r="Y45" s="7" t="s">
        <v>32</v>
      </c>
      <c r="Z45" s="1"/>
    </row>
    <row r="46" spans="1:26" ht="14.5">
      <c r="A46" s="7">
        <v>45</v>
      </c>
      <c r="B46" s="7" t="s">
        <v>172</v>
      </c>
      <c r="C46" s="7" t="s">
        <v>170</v>
      </c>
      <c r="D46" s="7">
        <v>2</v>
      </c>
      <c r="E46" s="7" t="s">
        <v>68</v>
      </c>
      <c r="F46" s="7" t="s">
        <v>35</v>
      </c>
      <c r="G46" s="7">
        <v>2024</v>
      </c>
      <c r="H46" s="7" t="s">
        <v>173</v>
      </c>
      <c r="I46" s="8">
        <v>46474</v>
      </c>
      <c r="J46" s="7" t="s">
        <v>47</v>
      </c>
      <c r="K46" s="9">
        <v>17500000</v>
      </c>
      <c r="L46" s="7">
        <v>125</v>
      </c>
      <c r="M46" s="10">
        <v>50</v>
      </c>
      <c r="N46" s="7">
        <v>4</v>
      </c>
      <c r="O46" s="7" t="s">
        <v>31</v>
      </c>
      <c r="P46" s="7"/>
      <c r="Q46" s="7">
        <f t="shared" ca="1" si="8"/>
        <v>9</v>
      </c>
      <c r="R46" s="7">
        <f t="shared" si="9"/>
        <v>4</v>
      </c>
      <c r="S46" s="7">
        <f t="shared" si="10"/>
        <v>2</v>
      </c>
      <c r="T46" s="7">
        <f t="shared" si="11"/>
        <v>4</v>
      </c>
      <c r="U46" s="7">
        <f t="shared" si="12"/>
        <v>5</v>
      </c>
      <c r="V46" s="7">
        <f t="shared" si="13"/>
        <v>3</v>
      </c>
      <c r="W46" s="7">
        <f t="shared" ca="1" si="14"/>
        <v>3</v>
      </c>
      <c r="X46" s="7">
        <f t="shared" si="15"/>
        <v>4</v>
      </c>
      <c r="Y46" s="7" t="s">
        <v>32</v>
      </c>
      <c r="Z46" s="1"/>
    </row>
    <row r="47" spans="1:26" ht="14.5">
      <c r="A47" s="7">
        <v>46</v>
      </c>
      <c r="B47" s="7" t="s">
        <v>174</v>
      </c>
      <c r="C47" s="7" t="s">
        <v>170</v>
      </c>
      <c r="D47" s="7">
        <v>3</v>
      </c>
      <c r="E47" s="7" t="s">
        <v>175</v>
      </c>
      <c r="F47" s="7" t="s">
        <v>35</v>
      </c>
      <c r="G47" s="7">
        <v>2023</v>
      </c>
      <c r="H47" s="7" t="s">
        <v>176</v>
      </c>
      <c r="I47" s="8">
        <v>46301</v>
      </c>
      <c r="J47" s="7" t="s">
        <v>87</v>
      </c>
      <c r="K47" s="9">
        <v>15500000</v>
      </c>
      <c r="L47" s="7">
        <v>125</v>
      </c>
      <c r="M47" s="10">
        <v>50</v>
      </c>
      <c r="N47" s="7">
        <v>4</v>
      </c>
      <c r="O47" s="7" t="s">
        <v>31</v>
      </c>
      <c r="P47" s="7"/>
      <c r="Q47" s="7">
        <f t="shared" ca="1" si="8"/>
        <v>4</v>
      </c>
      <c r="R47" s="7">
        <f t="shared" si="9"/>
        <v>4</v>
      </c>
      <c r="S47" s="7">
        <f t="shared" si="10"/>
        <v>2</v>
      </c>
      <c r="T47" s="7">
        <f t="shared" si="11"/>
        <v>4</v>
      </c>
      <c r="U47" s="7">
        <f t="shared" si="12"/>
        <v>5</v>
      </c>
      <c r="V47" s="7">
        <f t="shared" si="13"/>
        <v>3</v>
      </c>
      <c r="W47" s="7">
        <f t="shared" ca="1" si="14"/>
        <v>2</v>
      </c>
      <c r="X47" s="7">
        <f t="shared" si="15"/>
        <v>4</v>
      </c>
      <c r="Y47" s="7" t="s">
        <v>32</v>
      </c>
      <c r="Z47" s="1"/>
    </row>
    <row r="48" spans="1:26" ht="14.5">
      <c r="A48" s="7">
        <v>47</v>
      </c>
      <c r="B48" s="7" t="s">
        <v>177</v>
      </c>
      <c r="C48" s="7" t="s">
        <v>170</v>
      </c>
      <c r="D48" s="7">
        <v>4</v>
      </c>
      <c r="E48" s="7" t="s">
        <v>178</v>
      </c>
      <c r="F48" s="7" t="s">
        <v>28</v>
      </c>
      <c r="G48" s="7">
        <v>2019</v>
      </c>
      <c r="H48" s="7" t="s">
        <v>179</v>
      </c>
      <c r="I48" s="8">
        <v>46275</v>
      </c>
      <c r="J48" s="7" t="s">
        <v>87</v>
      </c>
      <c r="K48" s="9">
        <v>12000000</v>
      </c>
      <c r="L48" s="7">
        <v>110</v>
      </c>
      <c r="M48" s="10">
        <v>55</v>
      </c>
      <c r="N48" s="7">
        <v>3</v>
      </c>
      <c r="O48" s="7" t="s">
        <v>31</v>
      </c>
      <c r="P48" s="7"/>
      <c r="Q48" s="7">
        <f t="shared" ca="1" si="8"/>
        <v>3</v>
      </c>
      <c r="R48" s="7">
        <f t="shared" si="9"/>
        <v>3</v>
      </c>
      <c r="S48" s="7">
        <f t="shared" si="10"/>
        <v>2</v>
      </c>
      <c r="T48" s="7">
        <f t="shared" si="11"/>
        <v>5</v>
      </c>
      <c r="U48" s="7">
        <f t="shared" si="12"/>
        <v>3</v>
      </c>
      <c r="V48" s="7">
        <f t="shared" si="13"/>
        <v>4</v>
      </c>
      <c r="W48" s="7">
        <f t="shared" ca="1" si="14"/>
        <v>2</v>
      </c>
      <c r="X48" s="7">
        <f t="shared" si="15"/>
        <v>3</v>
      </c>
      <c r="Y48" s="7" t="s">
        <v>32</v>
      </c>
      <c r="Z48" s="1"/>
    </row>
    <row r="49" spans="1:26" ht="14.5">
      <c r="A49" s="7">
        <v>48</v>
      </c>
      <c r="B49" s="7" t="s">
        <v>180</v>
      </c>
      <c r="C49" s="7" t="s">
        <v>170</v>
      </c>
      <c r="D49" s="7">
        <v>5</v>
      </c>
      <c r="E49" s="7" t="s">
        <v>181</v>
      </c>
      <c r="F49" s="7" t="s">
        <v>129</v>
      </c>
      <c r="G49" s="7">
        <v>2015</v>
      </c>
      <c r="H49" s="7" t="s">
        <v>182</v>
      </c>
      <c r="I49" s="8">
        <v>46263</v>
      </c>
      <c r="J49" s="7" t="s">
        <v>87</v>
      </c>
      <c r="K49" s="9">
        <v>25000000</v>
      </c>
      <c r="L49" s="7">
        <v>150</v>
      </c>
      <c r="M49" s="10">
        <v>30</v>
      </c>
      <c r="N49" s="7">
        <v>2</v>
      </c>
      <c r="O49" s="7" t="s">
        <v>31</v>
      </c>
      <c r="P49" s="7"/>
      <c r="Q49" s="7">
        <f t="shared" ca="1" si="8"/>
        <v>2</v>
      </c>
      <c r="R49" s="7">
        <f t="shared" si="9"/>
        <v>5</v>
      </c>
      <c r="S49" s="7">
        <f t="shared" si="10"/>
        <v>3</v>
      </c>
      <c r="T49" s="7">
        <f t="shared" si="11"/>
        <v>3</v>
      </c>
      <c r="U49" s="7">
        <f t="shared" si="12"/>
        <v>2</v>
      </c>
      <c r="V49" s="7">
        <f t="shared" si="13"/>
        <v>2</v>
      </c>
      <c r="W49" s="7">
        <f t="shared" ca="1" si="14"/>
        <v>1</v>
      </c>
      <c r="X49" s="7">
        <f t="shared" si="15"/>
        <v>2</v>
      </c>
      <c r="Y49" s="7" t="s">
        <v>32</v>
      </c>
      <c r="Z49" s="1"/>
    </row>
    <row r="50" spans="1:26" ht="14.5">
      <c r="A50" s="7">
        <v>49</v>
      </c>
      <c r="B50" s="7" t="s">
        <v>183</v>
      </c>
      <c r="C50" s="7" t="s">
        <v>170</v>
      </c>
      <c r="D50" s="7">
        <v>6</v>
      </c>
      <c r="E50" s="7" t="s">
        <v>184</v>
      </c>
      <c r="F50" s="7" t="s">
        <v>35</v>
      </c>
      <c r="G50" s="7">
        <v>2022</v>
      </c>
      <c r="H50" s="7" t="s">
        <v>185</v>
      </c>
      <c r="I50" s="8">
        <v>46231</v>
      </c>
      <c r="J50" s="7" t="s">
        <v>87</v>
      </c>
      <c r="K50" s="9">
        <v>25000000</v>
      </c>
      <c r="L50" s="7">
        <v>155</v>
      </c>
      <c r="M50" s="10">
        <v>40</v>
      </c>
      <c r="N50" s="7">
        <v>3</v>
      </c>
      <c r="O50" s="7" t="s">
        <v>31</v>
      </c>
      <c r="P50" s="7"/>
      <c r="Q50" s="7">
        <f t="shared" ca="1" si="8"/>
        <v>1</v>
      </c>
      <c r="R50" s="7">
        <f t="shared" si="9"/>
        <v>5</v>
      </c>
      <c r="S50" s="7">
        <f t="shared" si="10"/>
        <v>4</v>
      </c>
      <c r="T50" s="7">
        <f t="shared" si="11"/>
        <v>4</v>
      </c>
      <c r="U50" s="7">
        <f t="shared" si="12"/>
        <v>4</v>
      </c>
      <c r="V50" s="7">
        <f t="shared" si="13"/>
        <v>2</v>
      </c>
      <c r="W50" s="7">
        <f t="shared" ca="1" si="14"/>
        <v>1</v>
      </c>
      <c r="X50" s="7">
        <f t="shared" si="15"/>
        <v>3</v>
      </c>
      <c r="Y50" s="7" t="s">
        <v>32</v>
      </c>
      <c r="Z50" s="1"/>
    </row>
    <row r="51" spans="1:26" ht="14.5">
      <c r="A51" s="7">
        <v>50</v>
      </c>
      <c r="B51" s="7" t="s">
        <v>186</v>
      </c>
      <c r="C51" s="7" t="s">
        <v>170</v>
      </c>
      <c r="D51" s="7">
        <v>7</v>
      </c>
      <c r="E51" s="7" t="s">
        <v>187</v>
      </c>
      <c r="F51" s="7" t="s">
        <v>95</v>
      </c>
      <c r="G51" s="7">
        <v>2019</v>
      </c>
      <c r="H51" s="7" t="s">
        <v>188</v>
      </c>
      <c r="I51" s="8">
        <v>46255</v>
      </c>
      <c r="J51" s="7" t="s">
        <v>30</v>
      </c>
      <c r="K51" s="9">
        <v>13400000</v>
      </c>
      <c r="L51" s="7">
        <v>150</v>
      </c>
      <c r="M51" s="10">
        <v>35</v>
      </c>
      <c r="N51" s="7">
        <v>3</v>
      </c>
      <c r="O51" s="7" t="s">
        <v>31</v>
      </c>
      <c r="P51" s="7"/>
      <c r="Q51" s="7">
        <f t="shared" ca="1" si="8"/>
        <v>2</v>
      </c>
      <c r="R51" s="7">
        <f t="shared" si="9"/>
        <v>3</v>
      </c>
      <c r="S51" s="7">
        <f t="shared" si="10"/>
        <v>3</v>
      </c>
      <c r="T51" s="7">
        <f t="shared" si="11"/>
        <v>3</v>
      </c>
      <c r="U51" s="7">
        <f t="shared" si="12"/>
        <v>3</v>
      </c>
      <c r="V51" s="7">
        <f t="shared" si="13"/>
        <v>2</v>
      </c>
      <c r="W51" s="7">
        <f t="shared" ca="1" si="14"/>
        <v>1</v>
      </c>
      <c r="X51" s="7">
        <f t="shared" si="15"/>
        <v>3</v>
      </c>
      <c r="Y51" s="7" t="s">
        <v>32</v>
      </c>
      <c r="Z51" s="1"/>
    </row>
    <row r="52" spans="1:26" ht="14.5">
      <c r="A52" s="7">
        <v>51</v>
      </c>
      <c r="B52" s="7" t="s">
        <v>189</v>
      </c>
      <c r="C52" s="7" t="s">
        <v>170</v>
      </c>
      <c r="D52" s="7">
        <v>8</v>
      </c>
      <c r="E52" s="7" t="s">
        <v>157</v>
      </c>
      <c r="F52" s="7" t="s">
        <v>28</v>
      </c>
      <c r="G52" s="7">
        <v>2020</v>
      </c>
      <c r="H52" s="7" t="s">
        <v>190</v>
      </c>
      <c r="I52" s="8">
        <v>46281</v>
      </c>
      <c r="J52" s="7" t="s">
        <v>30</v>
      </c>
      <c r="K52" s="9">
        <v>13000000</v>
      </c>
      <c r="L52" s="7">
        <v>110</v>
      </c>
      <c r="M52" s="10">
        <v>55</v>
      </c>
      <c r="N52" s="7">
        <v>3</v>
      </c>
      <c r="O52" s="7" t="s">
        <v>31</v>
      </c>
      <c r="P52" s="7"/>
      <c r="Q52" s="7">
        <f t="shared" ca="1" si="8"/>
        <v>3</v>
      </c>
      <c r="R52" s="7">
        <f t="shared" si="9"/>
        <v>3</v>
      </c>
      <c r="S52" s="7">
        <f t="shared" si="10"/>
        <v>2</v>
      </c>
      <c r="T52" s="7">
        <f t="shared" si="11"/>
        <v>5</v>
      </c>
      <c r="U52" s="7">
        <f t="shared" si="12"/>
        <v>3</v>
      </c>
      <c r="V52" s="7">
        <f t="shared" si="13"/>
        <v>4</v>
      </c>
      <c r="W52" s="7">
        <f t="shared" ca="1" si="14"/>
        <v>2</v>
      </c>
      <c r="X52" s="7">
        <f t="shared" si="15"/>
        <v>3</v>
      </c>
      <c r="Y52" s="7" t="s">
        <v>32</v>
      </c>
      <c r="Z52" s="1"/>
    </row>
    <row r="53" spans="1:26" ht="14.5">
      <c r="A53" s="7">
        <v>52</v>
      </c>
      <c r="B53" s="7" t="s">
        <v>191</v>
      </c>
      <c r="C53" s="7" t="s">
        <v>170</v>
      </c>
      <c r="D53" s="7">
        <v>9</v>
      </c>
      <c r="E53" s="7" t="s">
        <v>192</v>
      </c>
      <c r="F53" s="7" t="s">
        <v>28</v>
      </c>
      <c r="G53" s="7">
        <v>2024</v>
      </c>
      <c r="H53" s="7" t="s">
        <v>193</v>
      </c>
      <c r="I53" s="8">
        <v>46373</v>
      </c>
      <c r="J53" s="7" t="s">
        <v>119</v>
      </c>
      <c r="K53" s="9">
        <v>17000000</v>
      </c>
      <c r="L53" s="7">
        <v>110</v>
      </c>
      <c r="M53" s="10">
        <v>55</v>
      </c>
      <c r="N53" s="7">
        <v>4</v>
      </c>
      <c r="O53" s="7" t="s">
        <v>31</v>
      </c>
      <c r="P53" s="7"/>
      <c r="Q53" s="7">
        <f t="shared" ca="1" si="8"/>
        <v>6</v>
      </c>
      <c r="R53" s="7">
        <f t="shared" si="9"/>
        <v>4</v>
      </c>
      <c r="S53" s="7">
        <f t="shared" si="10"/>
        <v>2</v>
      </c>
      <c r="T53" s="7">
        <f t="shared" si="11"/>
        <v>5</v>
      </c>
      <c r="U53" s="7">
        <f t="shared" si="12"/>
        <v>5</v>
      </c>
      <c r="V53" s="7">
        <f t="shared" si="13"/>
        <v>4</v>
      </c>
      <c r="W53" s="7">
        <f t="shared" ca="1" si="14"/>
        <v>2</v>
      </c>
      <c r="X53" s="7">
        <f t="shared" si="15"/>
        <v>4</v>
      </c>
      <c r="Y53" s="7" t="s">
        <v>32</v>
      </c>
      <c r="Z53" s="1"/>
    </row>
    <row r="54" spans="1:26" ht="14.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1"/>
    </row>
    <row r="55" spans="1:26" ht="14.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1"/>
    </row>
    <row r="56" spans="1:26" ht="14.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1"/>
    </row>
    <row r="57" spans="1:26" ht="14.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1"/>
    </row>
    <row r="58" spans="1:26" ht="14.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1"/>
    </row>
    <row r="59" spans="1:26" ht="14.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1"/>
    </row>
    <row r="60" spans="1:26" ht="14.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1"/>
    </row>
    <row r="61" spans="1:26" ht="14.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1"/>
    </row>
    <row r="62" spans="1:26" ht="14.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1"/>
    </row>
    <row r="63" spans="1:26" ht="14.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1"/>
    </row>
    <row r="64" spans="1:26" ht="14.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1"/>
    </row>
    <row r="65" spans="1:26" ht="14.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1"/>
    </row>
    <row r="66" spans="1:26" ht="14.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1"/>
    </row>
    <row r="67" spans="1:26" ht="14.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1"/>
    </row>
    <row r="68" spans="1:26" ht="14.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1"/>
    </row>
    <row r="69" spans="1:26" ht="14.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1"/>
    </row>
    <row r="70" spans="1:26" ht="14.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1"/>
    </row>
    <row r="71" spans="1:26" ht="14.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"/>
    </row>
    <row r="72" spans="1:26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dataValidations count="2">
    <dataValidation type="list" sqref="O2:O53" xr:uid="{00000000-0002-0000-0100-000000000000}">
      <formula1>"ready,terjual,indent"</formula1>
    </dataValidation>
    <dataValidation type="list" sqref="N2:N53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abSelected="1" workbookViewId="0">
      <selection activeCell="D18" sqref="D18"/>
    </sheetView>
  </sheetViews>
  <sheetFormatPr defaultRowHeight="14"/>
  <cols>
    <col min="1" max="1" width="8" customWidth="1"/>
    <col min="2" max="2" width="25" customWidth="1"/>
    <col min="3" max="4" width="15" customWidth="1"/>
    <col min="5" max="6" width="18" customWidth="1"/>
    <col min="7" max="7" width="60" customWidth="1"/>
  </cols>
  <sheetData>
    <row r="1" spans="1:26" ht="14.5">
      <c r="A1" s="11" t="s">
        <v>194</v>
      </c>
      <c r="B1" s="11" t="s">
        <v>195</v>
      </c>
      <c r="C1" s="11" t="s">
        <v>196</v>
      </c>
      <c r="D1" s="11" t="s">
        <v>197</v>
      </c>
      <c r="E1" s="11" t="s">
        <v>198</v>
      </c>
      <c r="F1" s="11" t="s">
        <v>199</v>
      </c>
      <c r="G1" s="11" t="s">
        <v>200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12" t="s">
        <v>201</v>
      </c>
      <c r="B2" s="12" t="s">
        <v>202</v>
      </c>
      <c r="C2" s="12" t="s">
        <v>203</v>
      </c>
      <c r="D2" s="12" t="s">
        <v>204</v>
      </c>
      <c r="E2" s="12">
        <v>5</v>
      </c>
      <c r="F2" s="13">
        <f t="shared" ref="F2:F8" si="0">E2/SUM($E$2:$E$8)</f>
        <v>0.25</v>
      </c>
      <c r="G2" s="12" t="s">
        <v>205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>
      <c r="A3" s="12" t="s">
        <v>206</v>
      </c>
      <c r="B3" s="12" t="s">
        <v>207</v>
      </c>
      <c r="C3" s="12" t="s">
        <v>203</v>
      </c>
      <c r="D3" s="12" t="s">
        <v>208</v>
      </c>
      <c r="E3" s="12">
        <v>2</v>
      </c>
      <c r="F3" s="13">
        <f t="shared" si="0"/>
        <v>0.1</v>
      </c>
      <c r="G3" s="12" t="s">
        <v>209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>
      <c r="A4" s="12" t="s">
        <v>210</v>
      </c>
      <c r="B4" s="12" t="s">
        <v>211</v>
      </c>
      <c r="C4" s="12" t="s">
        <v>212</v>
      </c>
      <c r="D4" s="12" t="s">
        <v>208</v>
      </c>
      <c r="E4" s="12">
        <v>3</v>
      </c>
      <c r="F4" s="13">
        <f t="shared" si="0"/>
        <v>0.15</v>
      </c>
      <c r="G4" s="12" t="s">
        <v>213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>
      <c r="A5" s="12" t="s">
        <v>214</v>
      </c>
      <c r="B5" s="12" t="s">
        <v>215</v>
      </c>
      <c r="C5" s="12" t="s">
        <v>203</v>
      </c>
      <c r="D5" s="12" t="s">
        <v>208</v>
      </c>
      <c r="E5" s="12">
        <v>3</v>
      </c>
      <c r="F5" s="13">
        <f t="shared" si="0"/>
        <v>0.15</v>
      </c>
      <c r="G5" s="12" t="s">
        <v>216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>
      <c r="A6" s="12" t="s">
        <v>217</v>
      </c>
      <c r="B6" s="12" t="s">
        <v>218</v>
      </c>
      <c r="C6" s="12" t="s">
        <v>203</v>
      </c>
      <c r="D6" s="12" t="s">
        <v>208</v>
      </c>
      <c r="E6" s="12">
        <v>2</v>
      </c>
      <c r="F6" s="13">
        <f t="shared" si="0"/>
        <v>0.1</v>
      </c>
      <c r="G6" s="12" t="s">
        <v>219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>
      <c r="A7" s="12" t="s">
        <v>220</v>
      </c>
      <c r="B7" s="12" t="s">
        <v>221</v>
      </c>
      <c r="C7" s="12" t="s">
        <v>203</v>
      </c>
      <c r="D7" s="12" t="s">
        <v>208</v>
      </c>
      <c r="E7" s="12">
        <v>2</v>
      </c>
      <c r="F7" s="13">
        <f t="shared" si="0"/>
        <v>0.1</v>
      </c>
      <c r="G7" s="12" t="s">
        <v>222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>
      <c r="A8" s="12" t="s">
        <v>223</v>
      </c>
      <c r="B8" s="12" t="s">
        <v>224</v>
      </c>
      <c r="C8" s="12" t="s">
        <v>212</v>
      </c>
      <c r="D8" s="12" t="s">
        <v>208</v>
      </c>
      <c r="E8" s="12">
        <v>3</v>
      </c>
      <c r="F8" s="13">
        <f t="shared" si="0"/>
        <v>0.15</v>
      </c>
      <c r="G8" s="12" t="s">
        <v>225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>
      <c r="A9" s="1"/>
      <c r="B9" s="1"/>
      <c r="C9" s="1"/>
      <c r="D9" s="1"/>
      <c r="E9" s="1" t="s">
        <v>226</v>
      </c>
      <c r="F9" s="5">
        <f>SUM(F2:F8)</f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activeCell="D16" sqref="D16"/>
    </sheetView>
  </sheetViews>
  <sheetFormatPr defaultRowHeight="14"/>
  <cols>
    <col min="1" max="1" width="24" customWidth="1"/>
    <col min="2" max="2" width="18" customWidth="1"/>
    <col min="4" max="4" width="28" customWidth="1"/>
    <col min="5" max="6" width="16" customWidth="1"/>
    <col min="8" max="8" width="18" customWidth="1"/>
    <col min="9" max="9" width="14" customWidth="1"/>
  </cols>
  <sheetData>
    <row r="1" spans="1:26" ht="21">
      <c r="A1" s="3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>
      <c r="A3" s="1" t="s">
        <v>228</v>
      </c>
      <c r="B3" s="1">
        <f>COUNTA(Master_Motor!B2:B53)</f>
        <v>52</v>
      </c>
      <c r="C3" s="1"/>
      <c r="D3" s="2" t="s">
        <v>229</v>
      </c>
      <c r="E3" s="2" t="s">
        <v>230</v>
      </c>
      <c r="F3" s="2" t="s">
        <v>231</v>
      </c>
      <c r="G3" s="1"/>
      <c r="H3" s="2" t="s">
        <v>211</v>
      </c>
      <c r="I3" s="2" t="s">
        <v>230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>
      <c r="A4" s="1" t="s">
        <v>232</v>
      </c>
      <c r="B4" s="1">
        <f ca="1">COUNTA(_xludf.UNIQUE(Master_Motor!C2:C53))</f>
        <v>1</v>
      </c>
      <c r="C4" s="1"/>
      <c r="D4" s="1" t="s">
        <v>170</v>
      </c>
      <c r="E4" s="1">
        <v>9</v>
      </c>
      <c r="F4" s="1">
        <v>2021.1</v>
      </c>
      <c r="G4" s="1"/>
      <c r="H4" s="1" t="s">
        <v>28</v>
      </c>
      <c r="I4" s="1">
        <v>29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>
      <c r="A5" s="1" t="s">
        <v>233</v>
      </c>
      <c r="B5" s="1">
        <f ca="1">COUNTA(_xludf.UNIQUE(Master_Motor!F2:F53))</f>
        <v>1</v>
      </c>
      <c r="C5" s="1"/>
      <c r="D5" s="1" t="s">
        <v>26</v>
      </c>
      <c r="E5" s="1">
        <v>24</v>
      </c>
      <c r="F5" s="1">
        <v>2023.8</v>
      </c>
      <c r="G5" s="1"/>
      <c r="H5" s="1" t="s">
        <v>129</v>
      </c>
      <c r="I5" s="1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5">
      <c r="A6" s="1" t="s">
        <v>234</v>
      </c>
      <c r="B6" s="1">
        <f>COUNTIF(Master_Motor!O2:O53,"ready")</f>
        <v>52</v>
      </c>
      <c r="C6" s="1"/>
      <c r="D6" s="1" t="s">
        <v>109</v>
      </c>
      <c r="E6" s="1">
        <v>11</v>
      </c>
      <c r="F6" s="1">
        <v>2022.9</v>
      </c>
      <c r="G6" s="1"/>
      <c r="H6" s="1" t="s">
        <v>147</v>
      </c>
      <c r="I6" s="1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>
      <c r="A7" s="1" t="s">
        <v>235</v>
      </c>
      <c r="B7" s="4">
        <f>AVERAGE(Master_Motor!K2:K53)</f>
        <v>22396153.846153848</v>
      </c>
      <c r="C7" s="1"/>
      <c r="D7" s="1" t="s">
        <v>141</v>
      </c>
      <c r="E7" s="1">
        <v>8</v>
      </c>
      <c r="F7" s="1">
        <v>2021.6</v>
      </c>
      <c r="G7" s="1"/>
      <c r="H7" s="1" t="s">
        <v>95</v>
      </c>
      <c r="I7" s="1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5">
      <c r="A8" s="1" t="s">
        <v>236</v>
      </c>
      <c r="B8" s="1">
        <f>MAX(Master_Motor!G2:G53)</f>
        <v>2026</v>
      </c>
      <c r="C8" s="1"/>
      <c r="D8" s="1"/>
      <c r="E8" s="1"/>
      <c r="F8" s="1"/>
      <c r="G8" s="1"/>
      <c r="H8" s="1" t="s">
        <v>105</v>
      </c>
      <c r="I8" s="1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">
      <c r="A9" s="1"/>
      <c r="B9" s="1"/>
      <c r="C9" s="1"/>
      <c r="D9" s="1"/>
      <c r="E9" s="1"/>
      <c r="F9" s="1"/>
      <c r="G9" s="1"/>
      <c r="H9" s="1" t="s">
        <v>35</v>
      </c>
      <c r="I9" s="1">
        <v>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Master_Motor</vt:lpstr>
      <vt:lpstr>Kriteria_SPK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tito sukamenabung</cp:lastModifiedBy>
  <dcterms:created xsi:type="dcterms:W3CDTF">2026-06-25T09:48:03Z</dcterms:created>
  <dcterms:modified xsi:type="dcterms:W3CDTF">2026-07-08T01:50:39Z</dcterms:modified>
</cp:coreProperties>
</file>